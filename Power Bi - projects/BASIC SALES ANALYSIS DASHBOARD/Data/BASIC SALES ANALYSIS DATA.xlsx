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bdullah\Data Science Cource\Power BI course\"/>
    </mc:Choice>
  </mc:AlternateContent>
  <xr:revisionPtr revIDLastSave="0" documentId="13_ncr:1_{EF9416A4-54EE-4316-925C-11B7DCB3AC2B}" xr6:coauthVersionLast="47" xr6:coauthVersionMax="47" xr10:uidLastSave="{00000000-0000-0000-0000-000000000000}"/>
  <bookViews>
    <workbookView xWindow="-120" yWindow="-120" windowWidth="24240" windowHeight="13140" activeTab="2" xr2:uid="{7C2B2324-D1A4-4B8B-B79B-68F5B5279A7A}"/>
  </bookViews>
  <sheets>
    <sheet name="raw data" sheetId="2" r:id="rId1"/>
    <sheet name="Fine data" sheetId="1" r:id="rId2"/>
    <sheet name="Fine data 1" sheetId="3" r:id="rId3"/>
  </sheets>
  <definedNames>
    <definedName name="_xlnm._FilterDatabase" localSheetId="2" hidden="1">'Fine data 1'!$A$1:$A$45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2" i="3"/>
  <c r="J2" i="1"/>
  <c r="D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D48" i="1"/>
  <c r="D47" i="1"/>
  <c r="D46" i="1"/>
  <c r="D3" i="1"/>
  <c r="D4" i="1"/>
  <c r="D45" i="1" l="1"/>
  <c r="D44" i="1" l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<sst xmlns="http://schemas.openxmlformats.org/spreadsheetml/2006/main" count="445" uniqueCount="49">
  <si>
    <t>OrderDate</t>
  </si>
  <si>
    <t>Delivery Date</t>
  </si>
  <si>
    <t>Delivery Days</t>
  </si>
  <si>
    <t>Region</t>
  </si>
  <si>
    <t>Sales Person</t>
  </si>
  <si>
    <t>Item</t>
  </si>
  <si>
    <t>Units</t>
  </si>
  <si>
    <t>Unit Price</t>
  </si>
  <si>
    <t>Total Price</t>
  </si>
  <si>
    <t>East</t>
  </si>
  <si>
    <t>Ali</t>
  </si>
  <si>
    <t>Pen Set</t>
  </si>
  <si>
    <t>Imran</t>
  </si>
  <si>
    <t>Binder</t>
  </si>
  <si>
    <t>Central</t>
  </si>
  <si>
    <t>Mehran</t>
  </si>
  <si>
    <t>Saud</t>
  </si>
  <si>
    <t>Waqar</t>
  </si>
  <si>
    <t>Pencil</t>
  </si>
  <si>
    <t>West</t>
  </si>
  <si>
    <t>Saeed</t>
  </si>
  <si>
    <t>Desk</t>
  </si>
  <si>
    <t>Majid</t>
  </si>
  <si>
    <t>Nabeel</t>
  </si>
  <si>
    <t>Pen</t>
  </si>
  <si>
    <t>Sumair</t>
  </si>
  <si>
    <t>Nasir</t>
  </si>
  <si>
    <t>Qadeer</t>
  </si>
  <si>
    <t>USMAN</t>
  </si>
  <si>
    <t>Order</t>
  </si>
  <si>
    <t>Delivery</t>
  </si>
  <si>
    <t>Person</t>
  </si>
  <si>
    <t>Date</t>
  </si>
  <si>
    <t>Total sale</t>
  </si>
  <si>
    <t>Average Sale</t>
  </si>
  <si>
    <t>Maximum Sale</t>
  </si>
  <si>
    <t>Min Sale</t>
  </si>
  <si>
    <t>Region wise Sale</t>
  </si>
  <si>
    <t>Product Wise</t>
  </si>
  <si>
    <t>Sale Person Wise</t>
  </si>
  <si>
    <t>Date Wise</t>
  </si>
  <si>
    <t>Month Wise</t>
  </si>
  <si>
    <t>Year Wise</t>
  </si>
  <si>
    <t>Qtr Wise</t>
  </si>
  <si>
    <t>Product Search</t>
  </si>
  <si>
    <t>Requirements</t>
  </si>
  <si>
    <t>Delivery days</t>
  </si>
  <si>
    <t>Total price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</si>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</sst>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6"/>
      </left>
      <right/>
      <top style="thin">
        <color indexed="64"/>
      </top>
      <bottom/>
      <diagonal/>
    </border>
    <border>
      <left style="thin">
        <color theme="6"/>
      </left>
      <right/>
      <top style="medium">
        <color theme="6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5" fontId="0" fillId="0" borderId="0" xfId="0" applyNumberFormat="1"/>
    <xf numFmtId="164" fontId="0" fillId="0" borderId="0" xfId="0" applyNumberFormat="1"/>
    <xf numFmtId="0" fontId="1" fillId="2" borderId="1" xfId="0" applyFont="1" applyFill="1" applyBorder="1"/>
    <xf numFmtId="15" fontId="0" fillId="3" borderId="3" xfId="0" applyNumberFormat="1" applyFill="1" applyBorder="1"/>
    <xf numFmtId="0" fontId="0" fillId="3" borderId="3" xfId="0" applyFill="1" applyBorder="1"/>
    <xf numFmtId="15" fontId="0" fillId="3" borderId="4" xfId="0" applyNumberFormat="1" applyFill="1" applyBorder="1"/>
    <xf numFmtId="0" fontId="0" fillId="3" borderId="4" xfId="0" applyFill="1" applyBorder="1"/>
    <xf numFmtId="15" fontId="0" fillId="3" borderId="5" xfId="0" applyNumberFormat="1" applyFill="1" applyBorder="1"/>
    <xf numFmtId="0" fontId="0" fillId="3" borderId="5" xfId="0" applyFill="1" applyBorder="1"/>
    <xf numFmtId="0" fontId="0" fillId="3" borderId="2" xfId="0" applyFill="1" applyBorder="1"/>
    <xf numFmtId="15" fontId="0" fillId="4" borderId="6" xfId="0" applyNumberFormat="1" applyFill="1" applyBorder="1"/>
    <xf numFmtId="15" fontId="0" fillId="0" borderId="6" xfId="0" applyNumberFormat="1" applyBorder="1"/>
    <xf numFmtId="0" fontId="0" fillId="3" borderId="0" xfId="0" applyFill="1"/>
    <xf numFmtId="0" fontId="0" fillId="2" borderId="0" xfId="0" applyFill="1"/>
    <xf numFmtId="15" fontId="0" fillId="0" borderId="7" xfId="0" applyNumberFormat="1" applyBorder="1"/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5" fontId="0" fillId="0" borderId="8" xfId="0" applyNumberFormat="1" applyBorder="1" applyAlignment="1">
      <alignment horizontal="center" vertical="center"/>
    </xf>
    <xf numFmtId="15" fontId="0" fillId="0" borderId="11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5" fontId="0" fillId="5" borderId="8" xfId="0" applyNumberFormat="1" applyFont="1" applyFill="1" applyBorder="1" applyAlignment="1">
      <alignment horizontal="center" vertical="center"/>
    </xf>
    <xf numFmtId="15" fontId="0" fillId="0" borderId="8" xfId="0" applyNumberFormat="1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22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0" formatCode="d\-mmm\-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0" formatCode="d\-mmm\-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164" formatCode="0.00;[Red]0.00"/>
    </dxf>
    <dxf>
      <numFmt numFmtId="20" formatCode="d\-mmm\-yy"/>
    </dxf>
    <dxf>
      <numFmt numFmtId="20" formatCode="d\-mmm\-yy"/>
    </dxf>
    <dxf>
      <numFmt numFmtId="20" formatCode="d\-mmm\-yy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9E2915-9D24-433B-822A-A616718325F1}" name="Table1" displayName="Table1" ref="A1:J48" totalsRowShown="0" headerRowDxfId="21" headerRowBorderDxfId="20" tableBorderDxfId="19">
  <autoFilter ref="A1:J48" xr:uid="{4D18ADA9-D003-4CD7-A52A-63E332E7CA0B}"/>
  <tableColumns count="10">
    <tableColumn id="1" xr3:uid="{0943EB32-C757-4AC2-84D9-BD13AD0F0886}" name="Date" dataDxfId="18"/>
    <tableColumn id="12" xr3:uid="{8A34BDEF-660B-469F-A81D-1E4153EDB24E}" name="OrderDate" dataDxfId="17"/>
    <tableColumn id="2" xr3:uid="{4B62915E-B481-4B38-BADB-3C4FA64AE04E}" name="Delivery Date" dataDxfId="16"/>
    <tableColumn id="3" xr3:uid="{E6825B15-9581-42EB-B64C-EDCFBBA33704}" name="Delivery Days" dataDxfId="15">
      <calculatedColumnFormula>C2-A2</calculatedColumnFormula>
    </tableColumn>
    <tableColumn id="4" xr3:uid="{3180693E-1501-4E16-A4EA-4F2984408211}" name="Region"/>
    <tableColumn id="5" xr3:uid="{E0926A26-98ED-469B-830C-6362C37AE35C}" name="Sales Person"/>
    <tableColumn id="6" xr3:uid="{F0690892-EC80-4A98-A1D8-7A12AF8553CB}" name="Item"/>
    <tableColumn id="7" xr3:uid="{8C89F6CA-870E-4DD6-94B0-593BCBF0D3F5}" name="Units"/>
    <tableColumn id="8" xr3:uid="{9EDEB0F7-EE1E-48CC-B4DD-3A9058A55BC7}" name="Unit Price"/>
    <tableColumn id="9" xr3:uid="{A6373A65-2FE9-4A5B-AA15-E1688DDA3FBD}" name="Total Price" dataDxfId="14">
      <calculatedColumnFormula>H2*I2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A73FB2-48AB-4CA8-9CF5-2693E071E59A}" name="Table5" displayName="Table5" ref="B1:J45" totalsRowShown="0" headerRowDxfId="13" dataDxfId="11" headerRowBorderDxfId="12" tableBorderDxfId="10" totalsRowBorderDxfId="9">
  <autoFilter ref="B1:J45" xr:uid="{0BA73FB2-48AB-4CA8-9CF5-2693E071E59A}"/>
  <tableColumns count="9">
    <tableColumn id="1" xr3:uid="{A0D08C8E-F8CC-4617-8307-6996033DF470}" name="Order Date" dataDxfId="8"/>
    <tableColumn id="2" xr3:uid="{DA2626E8-1D77-4B2A-8424-B3D49D79309D}" name="Delivery Date" dataDxfId="7"/>
    <tableColumn id="9" xr3:uid="{A41A2CDB-8314-494C-96B8-FAE67E327A86}" name="Delivery days" dataDxfId="6">
      <calculatedColumnFormula>Table5[[#This Row],[Delivery Date]]-Table5[[#This Row],[Order Date]]</calculatedColumnFormula>
    </tableColumn>
    <tableColumn id="3" xr3:uid="{46FC0965-781C-4462-9563-F9FBC82184AD}" name="Region" dataDxfId="5"/>
    <tableColumn id="4" xr3:uid="{B3337CF3-66A7-488E-B31B-ACABEC673B08}" name="Person" dataDxfId="4"/>
    <tableColumn id="5" xr3:uid="{FF7B0F5D-96E8-4324-ACFD-12D6A268753E}" name="Item" dataDxfId="3"/>
    <tableColumn id="6" xr3:uid="{C7C62F29-963B-4B8D-836E-209AE92DF3FC}" name="Units" dataDxfId="2"/>
    <tableColumn id="10" xr3:uid="{8392E539-14A3-41D8-9284-3A66EE58835B}" name="Unit Price" dataDxfId="1"/>
    <tableColumn id="7" xr3:uid="{D9EFD646-89AF-4831-ACE7-D932B7D6821A}" name="Total price" dataDxfId="0">
      <calculatedColumnFormula>Table5[[#This Row],[Units]]*Table5[[#This Row],[Unit Price]]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06CC7-3DB8-4A32-BA4D-7DBAEB9D18D3}">
  <dimension ref="A1:M45"/>
  <sheetViews>
    <sheetView topLeftCell="A26" zoomScale="120" zoomScaleNormal="120" workbookViewId="0">
      <selection activeCell="A2" sqref="A2:B45"/>
    </sheetView>
  </sheetViews>
  <sheetFormatPr defaultRowHeight="15" x14ac:dyDescent="0.25"/>
  <cols>
    <col min="1" max="1" width="13.7109375" customWidth="1"/>
    <col min="2" max="2" width="13.140625" bestFit="1" customWidth="1"/>
    <col min="3" max="3" width="7.42578125" bestFit="1" customWidth="1"/>
    <col min="4" max="4" width="12.140625" bestFit="1" customWidth="1"/>
    <col min="5" max="5" width="7.7109375" bestFit="1" customWidth="1"/>
    <col min="6" max="6" width="5.5703125" bestFit="1" customWidth="1"/>
    <col min="7" max="7" width="8.7109375" bestFit="1" customWidth="1"/>
    <col min="9" max="9" width="15" bestFit="1" customWidth="1"/>
  </cols>
  <sheetData>
    <row r="1" spans="1:13" ht="15.75" thickBot="1" x14ac:dyDescent="0.3">
      <c r="A1" s="10" t="s">
        <v>29</v>
      </c>
      <c r="B1" s="10" t="s">
        <v>30</v>
      </c>
      <c r="C1" s="10" t="s">
        <v>3</v>
      </c>
      <c r="D1" s="10" t="s">
        <v>31</v>
      </c>
      <c r="E1" s="10" t="s">
        <v>5</v>
      </c>
      <c r="F1" s="10" t="s">
        <v>6</v>
      </c>
      <c r="G1" s="13" t="s">
        <v>7</v>
      </c>
    </row>
    <row r="2" spans="1:13" x14ac:dyDescent="0.25">
      <c r="A2" s="4">
        <v>41824</v>
      </c>
      <c r="B2" s="4">
        <v>41827</v>
      </c>
      <c r="C2" s="5" t="s">
        <v>9</v>
      </c>
      <c r="D2" s="5" t="s">
        <v>10</v>
      </c>
      <c r="E2" s="5" t="s">
        <v>11</v>
      </c>
      <c r="F2" s="5">
        <v>62</v>
      </c>
      <c r="G2">
        <v>4.99</v>
      </c>
    </row>
    <row r="3" spans="1:13" x14ac:dyDescent="0.25">
      <c r="A3" s="6">
        <v>41832</v>
      </c>
      <c r="B3" s="6">
        <v>41834</v>
      </c>
      <c r="C3" s="7" t="s">
        <v>9</v>
      </c>
      <c r="D3" s="7" t="s">
        <v>12</v>
      </c>
      <c r="E3" s="7" t="s">
        <v>13</v>
      </c>
      <c r="F3" s="7">
        <v>29</v>
      </c>
      <c r="G3">
        <v>1.99</v>
      </c>
      <c r="M3" s="14" t="s">
        <v>45</v>
      </c>
    </row>
    <row r="4" spans="1:13" x14ac:dyDescent="0.25">
      <c r="A4" s="6">
        <v>41841</v>
      </c>
      <c r="B4" s="6">
        <v>41842</v>
      </c>
      <c r="C4" s="7" t="s">
        <v>14</v>
      </c>
      <c r="D4" s="7" t="s">
        <v>15</v>
      </c>
      <c r="E4" s="7" t="s">
        <v>11</v>
      </c>
      <c r="F4" s="7">
        <v>55</v>
      </c>
      <c r="G4">
        <v>12.49</v>
      </c>
      <c r="M4" t="s">
        <v>33</v>
      </c>
    </row>
    <row r="5" spans="1:13" x14ac:dyDescent="0.25">
      <c r="A5" s="6">
        <v>41849</v>
      </c>
      <c r="B5" s="6">
        <v>41850</v>
      </c>
      <c r="C5" s="7" t="s">
        <v>9</v>
      </c>
      <c r="D5" s="7" t="s">
        <v>16</v>
      </c>
      <c r="E5" s="7" t="s">
        <v>13</v>
      </c>
      <c r="F5" s="7">
        <v>81</v>
      </c>
      <c r="G5">
        <v>19.989999999999998</v>
      </c>
      <c r="M5" t="s">
        <v>34</v>
      </c>
    </row>
    <row r="6" spans="1:13" x14ac:dyDescent="0.25">
      <c r="A6" s="6">
        <v>41858</v>
      </c>
      <c r="B6" s="6">
        <v>41864</v>
      </c>
      <c r="C6" s="7" t="s">
        <v>14</v>
      </c>
      <c r="D6" s="7" t="s">
        <v>17</v>
      </c>
      <c r="E6" s="7" t="s">
        <v>11</v>
      </c>
      <c r="F6" s="7">
        <v>42</v>
      </c>
      <c r="G6">
        <v>23.95</v>
      </c>
      <c r="M6" t="s">
        <v>35</v>
      </c>
    </row>
    <row r="7" spans="1:13" x14ac:dyDescent="0.25">
      <c r="A7" s="6">
        <v>41866</v>
      </c>
      <c r="B7" s="6">
        <v>41868</v>
      </c>
      <c r="C7" s="7" t="s">
        <v>9</v>
      </c>
      <c r="D7" s="7" t="s">
        <v>10</v>
      </c>
      <c r="E7" s="7" t="s">
        <v>18</v>
      </c>
      <c r="F7" s="7">
        <v>35</v>
      </c>
      <c r="G7">
        <v>4.99</v>
      </c>
      <c r="M7" t="s">
        <v>36</v>
      </c>
    </row>
    <row r="8" spans="1:13" x14ac:dyDescent="0.25">
      <c r="A8" s="6">
        <v>41875</v>
      </c>
      <c r="B8" s="6">
        <v>41877</v>
      </c>
      <c r="C8" s="7" t="s">
        <v>19</v>
      </c>
      <c r="D8" s="7" t="s">
        <v>20</v>
      </c>
      <c r="E8" s="7" t="s">
        <v>21</v>
      </c>
      <c r="F8" s="7">
        <v>3</v>
      </c>
      <c r="G8">
        <v>275</v>
      </c>
      <c r="M8" t="s">
        <v>37</v>
      </c>
    </row>
    <row r="9" spans="1:13" x14ac:dyDescent="0.25">
      <c r="A9" s="6">
        <v>41883</v>
      </c>
      <c r="B9" s="6">
        <v>41891</v>
      </c>
      <c r="C9" s="7" t="s">
        <v>14</v>
      </c>
      <c r="D9" s="7" t="s">
        <v>22</v>
      </c>
      <c r="E9" s="7" t="s">
        <v>21</v>
      </c>
      <c r="F9" s="7">
        <v>2</v>
      </c>
      <c r="G9">
        <v>125</v>
      </c>
      <c r="M9" t="s">
        <v>38</v>
      </c>
    </row>
    <row r="10" spans="1:13" x14ac:dyDescent="0.25">
      <c r="A10" s="6">
        <v>41892</v>
      </c>
      <c r="B10" s="6">
        <v>41895</v>
      </c>
      <c r="C10" s="7" t="s">
        <v>14</v>
      </c>
      <c r="D10" s="7" t="s">
        <v>23</v>
      </c>
      <c r="E10" s="7" t="s">
        <v>18</v>
      </c>
      <c r="F10" s="7">
        <v>7</v>
      </c>
      <c r="G10">
        <v>1.29</v>
      </c>
      <c r="M10" t="s">
        <v>39</v>
      </c>
    </row>
    <row r="11" spans="1:13" x14ac:dyDescent="0.25">
      <c r="A11" s="6">
        <v>41900</v>
      </c>
      <c r="B11" s="6">
        <v>41903</v>
      </c>
      <c r="C11" s="7" t="s">
        <v>9</v>
      </c>
      <c r="D11" s="7" t="s">
        <v>10</v>
      </c>
      <c r="E11" s="7" t="s">
        <v>11</v>
      </c>
      <c r="F11" s="7">
        <v>16</v>
      </c>
      <c r="G11">
        <v>15.99</v>
      </c>
      <c r="M11" t="s">
        <v>40</v>
      </c>
    </row>
    <row r="12" spans="1:13" x14ac:dyDescent="0.25">
      <c r="A12" s="6">
        <v>41909</v>
      </c>
      <c r="B12" s="6">
        <v>41911</v>
      </c>
      <c r="C12" s="7" t="s">
        <v>19</v>
      </c>
      <c r="D12" s="7" t="s">
        <v>20</v>
      </c>
      <c r="E12" s="7" t="s">
        <v>24</v>
      </c>
      <c r="F12" s="7">
        <v>76</v>
      </c>
      <c r="G12">
        <v>1.99</v>
      </c>
      <c r="M12" t="s">
        <v>41</v>
      </c>
    </row>
    <row r="13" spans="1:13" x14ac:dyDescent="0.25">
      <c r="A13" s="6">
        <v>41917</v>
      </c>
      <c r="B13" s="6">
        <v>41918</v>
      </c>
      <c r="C13" s="7" t="s">
        <v>14</v>
      </c>
      <c r="D13" s="7" t="s">
        <v>15</v>
      </c>
      <c r="E13" s="7" t="s">
        <v>13</v>
      </c>
      <c r="F13" s="7">
        <v>28</v>
      </c>
      <c r="G13">
        <v>8.99</v>
      </c>
      <c r="M13" t="s">
        <v>42</v>
      </c>
    </row>
    <row r="14" spans="1:13" x14ac:dyDescent="0.25">
      <c r="A14" s="6">
        <v>41926</v>
      </c>
      <c r="B14" s="6">
        <v>41928</v>
      </c>
      <c r="C14" s="7" t="s">
        <v>19</v>
      </c>
      <c r="D14" s="7" t="s">
        <v>25</v>
      </c>
      <c r="E14" s="7" t="s">
        <v>13</v>
      </c>
      <c r="F14" s="7">
        <v>57</v>
      </c>
      <c r="G14">
        <v>19.989999999999998</v>
      </c>
      <c r="M14" t="s">
        <v>43</v>
      </c>
    </row>
    <row r="15" spans="1:13" x14ac:dyDescent="0.25">
      <c r="A15" s="6">
        <v>41934</v>
      </c>
      <c r="B15" s="6">
        <v>41938</v>
      </c>
      <c r="C15" s="7" t="s">
        <v>9</v>
      </c>
      <c r="D15" s="7" t="s">
        <v>10</v>
      </c>
      <c r="E15" s="7" t="s">
        <v>24</v>
      </c>
      <c r="F15" s="7">
        <v>64</v>
      </c>
      <c r="G15">
        <v>8.99</v>
      </c>
      <c r="M15" t="s">
        <v>44</v>
      </c>
    </row>
    <row r="16" spans="1:13" x14ac:dyDescent="0.25">
      <c r="A16" s="6">
        <v>41943</v>
      </c>
      <c r="B16" s="6">
        <v>41943</v>
      </c>
      <c r="C16" s="7" t="s">
        <v>14</v>
      </c>
      <c r="D16" s="7" t="s">
        <v>26</v>
      </c>
      <c r="E16" s="7" t="s">
        <v>18</v>
      </c>
      <c r="F16" s="7">
        <v>14</v>
      </c>
      <c r="G16">
        <v>1.29</v>
      </c>
    </row>
    <row r="17" spans="1:7" x14ac:dyDescent="0.25">
      <c r="A17" s="6">
        <v>41951</v>
      </c>
      <c r="B17" s="6">
        <v>41955</v>
      </c>
      <c r="C17" s="7" t="s">
        <v>9</v>
      </c>
      <c r="D17" s="7" t="s">
        <v>16</v>
      </c>
      <c r="E17" s="7" t="s">
        <v>24</v>
      </c>
      <c r="F17" s="7">
        <v>15</v>
      </c>
      <c r="G17">
        <v>19.989999999999998</v>
      </c>
    </row>
    <row r="18" spans="1:7" x14ac:dyDescent="0.25">
      <c r="A18" s="6">
        <v>41960</v>
      </c>
      <c r="B18" s="6">
        <v>41962</v>
      </c>
      <c r="C18" s="7" t="s">
        <v>14</v>
      </c>
      <c r="D18" s="7" t="s">
        <v>27</v>
      </c>
      <c r="E18" s="7" t="s">
        <v>13</v>
      </c>
      <c r="F18" s="7">
        <v>11</v>
      </c>
      <c r="G18">
        <v>4.99</v>
      </c>
    </row>
    <row r="19" spans="1:7" x14ac:dyDescent="0.25">
      <c r="A19" s="6">
        <v>41968</v>
      </c>
      <c r="B19" s="6">
        <v>41972</v>
      </c>
      <c r="C19" s="7" t="s">
        <v>14</v>
      </c>
      <c r="D19" s="7" t="s">
        <v>17</v>
      </c>
      <c r="E19" s="7" t="s">
        <v>11</v>
      </c>
      <c r="F19" s="7">
        <v>96</v>
      </c>
      <c r="G19">
        <v>4.99</v>
      </c>
    </row>
    <row r="20" spans="1:7" x14ac:dyDescent="0.25">
      <c r="A20" s="6">
        <v>41977</v>
      </c>
      <c r="B20" s="6">
        <v>41982</v>
      </c>
      <c r="C20" s="7" t="s">
        <v>14</v>
      </c>
      <c r="D20" s="7" t="s">
        <v>27</v>
      </c>
      <c r="E20" s="7" t="s">
        <v>13</v>
      </c>
      <c r="F20" s="7">
        <v>94</v>
      </c>
      <c r="G20">
        <v>19.989999999999998</v>
      </c>
    </row>
    <row r="21" spans="1:7" x14ac:dyDescent="0.25">
      <c r="A21" s="6">
        <v>41985</v>
      </c>
      <c r="B21" s="6">
        <v>41989</v>
      </c>
      <c r="C21" s="7" t="s">
        <v>14</v>
      </c>
      <c r="D21" s="7" t="s">
        <v>22</v>
      </c>
      <c r="E21" s="7" t="s">
        <v>18</v>
      </c>
      <c r="F21" s="7">
        <v>67</v>
      </c>
      <c r="G21">
        <v>1.29</v>
      </c>
    </row>
    <row r="22" spans="1:7" x14ac:dyDescent="0.25">
      <c r="A22" s="6">
        <v>41994</v>
      </c>
      <c r="B22" s="6">
        <v>41997</v>
      </c>
      <c r="C22" s="7" t="s">
        <v>14</v>
      </c>
      <c r="D22" s="7" t="s">
        <v>26</v>
      </c>
      <c r="E22" s="7" t="s">
        <v>13</v>
      </c>
      <c r="F22" s="7">
        <v>28</v>
      </c>
      <c r="G22">
        <v>4.99</v>
      </c>
    </row>
    <row r="23" spans="1:7" x14ac:dyDescent="0.25">
      <c r="A23" s="6">
        <v>42002</v>
      </c>
      <c r="B23" s="6">
        <v>42002</v>
      </c>
      <c r="C23" s="7" t="s">
        <v>9</v>
      </c>
      <c r="D23" s="7" t="s">
        <v>16</v>
      </c>
      <c r="E23" s="7" t="s">
        <v>11</v>
      </c>
      <c r="F23" s="7">
        <v>74</v>
      </c>
      <c r="G23">
        <v>15.99</v>
      </c>
    </row>
    <row r="24" spans="1:7" x14ac:dyDescent="0.25">
      <c r="A24" s="6">
        <v>42010</v>
      </c>
      <c r="B24" s="6">
        <v>42011</v>
      </c>
      <c r="C24" s="7" t="s">
        <v>9</v>
      </c>
      <c r="D24" s="7" t="s">
        <v>10</v>
      </c>
      <c r="E24" s="7" t="s">
        <v>18</v>
      </c>
      <c r="F24" s="7">
        <v>95</v>
      </c>
      <c r="G24">
        <v>1.99</v>
      </c>
    </row>
    <row r="25" spans="1:7" x14ac:dyDescent="0.25">
      <c r="A25" s="6">
        <v>42019</v>
      </c>
      <c r="B25" s="6">
        <v>42023</v>
      </c>
      <c r="C25" s="7" t="s">
        <v>14</v>
      </c>
      <c r="D25" s="7" t="s">
        <v>23</v>
      </c>
      <c r="E25" s="7" t="s">
        <v>13</v>
      </c>
      <c r="F25" s="7">
        <v>46</v>
      </c>
      <c r="G25">
        <v>8.99</v>
      </c>
    </row>
    <row r="26" spans="1:7" x14ac:dyDescent="0.25">
      <c r="A26" s="6">
        <v>42027</v>
      </c>
      <c r="B26" s="6">
        <v>42028</v>
      </c>
      <c r="C26" s="7" t="s">
        <v>14</v>
      </c>
      <c r="D26" s="7" t="s">
        <v>17</v>
      </c>
      <c r="E26" s="7" t="s">
        <v>13</v>
      </c>
      <c r="F26" s="7">
        <v>50</v>
      </c>
      <c r="G26">
        <v>19.989999999999998</v>
      </c>
    </row>
    <row r="27" spans="1:7" x14ac:dyDescent="0.25">
      <c r="A27" s="6">
        <v>42036</v>
      </c>
      <c r="B27" s="6">
        <v>42041</v>
      </c>
      <c r="C27" s="7" t="s">
        <v>14</v>
      </c>
      <c r="D27" s="7" t="s">
        <v>22</v>
      </c>
      <c r="E27" s="7" t="s">
        <v>13</v>
      </c>
      <c r="F27" s="7">
        <v>87</v>
      </c>
      <c r="G27">
        <v>15</v>
      </c>
    </row>
    <row r="28" spans="1:7" x14ac:dyDescent="0.25">
      <c r="A28" s="6">
        <v>42044</v>
      </c>
      <c r="B28" s="6">
        <v>42047</v>
      </c>
      <c r="C28" s="7" t="s">
        <v>14</v>
      </c>
      <c r="D28" s="7" t="s">
        <v>27</v>
      </c>
      <c r="E28" s="7" t="s">
        <v>18</v>
      </c>
      <c r="F28" s="7">
        <v>36</v>
      </c>
      <c r="G28">
        <v>4.99</v>
      </c>
    </row>
    <row r="29" spans="1:7" x14ac:dyDescent="0.25">
      <c r="A29" s="6">
        <v>42053</v>
      </c>
      <c r="B29" s="6">
        <v>42054</v>
      </c>
      <c r="C29" s="7" t="s">
        <v>9</v>
      </c>
      <c r="D29" s="7" t="s">
        <v>10</v>
      </c>
      <c r="E29" s="7" t="s">
        <v>13</v>
      </c>
      <c r="F29" s="7">
        <v>4</v>
      </c>
      <c r="G29">
        <v>4.99</v>
      </c>
    </row>
    <row r="30" spans="1:7" x14ac:dyDescent="0.25">
      <c r="A30" s="6">
        <v>42061</v>
      </c>
      <c r="B30" s="6">
        <v>42063</v>
      </c>
      <c r="C30" s="7" t="s">
        <v>14</v>
      </c>
      <c r="D30" s="7" t="s">
        <v>23</v>
      </c>
      <c r="E30" s="7" t="s">
        <v>24</v>
      </c>
      <c r="F30" s="7">
        <v>27</v>
      </c>
      <c r="G30">
        <v>19.989999999999998</v>
      </c>
    </row>
    <row r="31" spans="1:7" x14ac:dyDescent="0.25">
      <c r="A31" s="6">
        <v>42070</v>
      </c>
      <c r="B31" s="6">
        <v>42075</v>
      </c>
      <c r="C31" s="7" t="s">
        <v>19</v>
      </c>
      <c r="D31" s="7" t="s">
        <v>20</v>
      </c>
      <c r="E31" s="7" t="s">
        <v>13</v>
      </c>
      <c r="F31" s="7">
        <v>7</v>
      </c>
      <c r="G31">
        <v>19.989999999999998</v>
      </c>
    </row>
    <row r="32" spans="1:7" x14ac:dyDescent="0.25">
      <c r="A32" s="6">
        <v>42078</v>
      </c>
      <c r="B32" s="6">
        <v>42081</v>
      </c>
      <c r="C32" s="7" t="s">
        <v>19</v>
      </c>
      <c r="D32" s="7" t="s">
        <v>20</v>
      </c>
      <c r="E32" s="7" t="s">
        <v>18</v>
      </c>
      <c r="F32" s="7">
        <v>56</v>
      </c>
      <c r="G32">
        <v>2.99</v>
      </c>
    </row>
    <row r="33" spans="1:7" x14ac:dyDescent="0.25">
      <c r="A33" s="6">
        <v>42087</v>
      </c>
      <c r="B33" s="6">
        <v>42092</v>
      </c>
      <c r="C33" s="7" t="s">
        <v>14</v>
      </c>
      <c r="D33" s="7" t="s">
        <v>27</v>
      </c>
      <c r="E33" s="7" t="s">
        <v>11</v>
      </c>
      <c r="F33" s="7">
        <v>50</v>
      </c>
      <c r="G33">
        <v>4.99</v>
      </c>
    </row>
    <row r="34" spans="1:7" x14ac:dyDescent="0.25">
      <c r="A34" s="6">
        <v>42095</v>
      </c>
      <c r="B34" s="6">
        <v>42098</v>
      </c>
      <c r="C34" s="7" t="s">
        <v>9</v>
      </c>
      <c r="D34" s="7" t="s">
        <v>10</v>
      </c>
      <c r="E34" s="7" t="s">
        <v>13</v>
      </c>
      <c r="F34" s="7">
        <v>60</v>
      </c>
      <c r="G34">
        <v>4.99</v>
      </c>
    </row>
    <row r="35" spans="1:7" x14ac:dyDescent="0.25">
      <c r="A35" s="6">
        <v>42104</v>
      </c>
      <c r="B35" s="6">
        <v>42109</v>
      </c>
      <c r="C35" s="7" t="s">
        <v>14</v>
      </c>
      <c r="D35" s="7" t="s">
        <v>26</v>
      </c>
      <c r="E35" s="7" t="s">
        <v>18</v>
      </c>
      <c r="F35" s="7">
        <v>66</v>
      </c>
      <c r="G35">
        <v>1.99</v>
      </c>
    </row>
    <row r="36" spans="1:7" x14ac:dyDescent="0.25">
      <c r="A36" s="6">
        <v>42112</v>
      </c>
      <c r="B36" s="6">
        <v>42115</v>
      </c>
      <c r="C36" s="7" t="s">
        <v>14</v>
      </c>
      <c r="D36" s="7" t="s">
        <v>26</v>
      </c>
      <c r="E36" s="7" t="s">
        <v>18</v>
      </c>
      <c r="F36" s="7">
        <v>75</v>
      </c>
      <c r="G36">
        <v>1.99</v>
      </c>
    </row>
    <row r="37" spans="1:7" x14ac:dyDescent="0.25">
      <c r="A37" s="6">
        <v>42121</v>
      </c>
      <c r="B37" s="6">
        <v>42123</v>
      </c>
      <c r="C37" s="7" t="s">
        <v>9</v>
      </c>
      <c r="D37" s="7" t="s">
        <v>12</v>
      </c>
      <c r="E37" s="7" t="s">
        <v>24</v>
      </c>
      <c r="F37" s="7">
        <v>96</v>
      </c>
      <c r="G37">
        <v>4.99</v>
      </c>
    </row>
    <row r="38" spans="1:7" x14ac:dyDescent="0.25">
      <c r="A38" s="6">
        <v>42129</v>
      </c>
      <c r="B38" s="6">
        <v>42130</v>
      </c>
      <c r="C38" s="7" t="s">
        <v>14</v>
      </c>
      <c r="D38" s="7" t="s">
        <v>27</v>
      </c>
      <c r="E38" s="7" t="s">
        <v>18</v>
      </c>
      <c r="F38" s="7">
        <v>90</v>
      </c>
      <c r="G38">
        <v>4.99</v>
      </c>
    </row>
    <row r="39" spans="1:7" x14ac:dyDescent="0.25">
      <c r="A39" s="6">
        <v>42138</v>
      </c>
      <c r="B39" s="6">
        <v>42142</v>
      </c>
      <c r="C39" s="7" t="s">
        <v>14</v>
      </c>
      <c r="D39" s="7" t="s">
        <v>23</v>
      </c>
      <c r="E39" s="7" t="s">
        <v>18</v>
      </c>
      <c r="F39" s="7">
        <v>53</v>
      </c>
      <c r="G39">
        <v>1.29</v>
      </c>
    </row>
    <row r="40" spans="1:7" x14ac:dyDescent="0.25">
      <c r="A40" s="6">
        <v>42146</v>
      </c>
      <c r="B40" s="6">
        <v>42150</v>
      </c>
      <c r="C40" s="7" t="s">
        <v>19</v>
      </c>
      <c r="D40" s="7" t="s">
        <v>25</v>
      </c>
      <c r="E40" s="7" t="s">
        <v>18</v>
      </c>
      <c r="F40" s="7">
        <v>32</v>
      </c>
      <c r="G40">
        <v>1.99</v>
      </c>
    </row>
    <row r="41" spans="1:7" x14ac:dyDescent="0.25">
      <c r="A41" s="6">
        <v>42155</v>
      </c>
      <c r="B41" s="6">
        <v>42155</v>
      </c>
      <c r="C41" s="7" t="s">
        <v>14</v>
      </c>
      <c r="D41" s="7" t="s">
        <v>23</v>
      </c>
      <c r="E41" s="7" t="s">
        <v>13</v>
      </c>
      <c r="F41" s="7">
        <v>80</v>
      </c>
      <c r="G41">
        <v>8.99</v>
      </c>
    </row>
    <row r="42" spans="1:7" x14ac:dyDescent="0.25">
      <c r="A42" s="6">
        <v>42163</v>
      </c>
      <c r="B42" s="6">
        <v>42167</v>
      </c>
      <c r="C42" s="7" t="s">
        <v>9</v>
      </c>
      <c r="D42" s="7" t="s">
        <v>10</v>
      </c>
      <c r="E42" s="7" t="s">
        <v>13</v>
      </c>
      <c r="F42" s="7">
        <v>60</v>
      </c>
      <c r="G42">
        <v>8.99</v>
      </c>
    </row>
    <row r="43" spans="1:7" x14ac:dyDescent="0.25">
      <c r="A43" s="6">
        <v>42172</v>
      </c>
      <c r="B43" s="6">
        <v>42176</v>
      </c>
      <c r="C43" s="7" t="s">
        <v>14</v>
      </c>
      <c r="D43" s="7" t="s">
        <v>17</v>
      </c>
      <c r="E43" s="7" t="s">
        <v>21</v>
      </c>
      <c r="F43" s="7">
        <v>5</v>
      </c>
      <c r="G43">
        <v>125</v>
      </c>
    </row>
    <row r="44" spans="1:7" x14ac:dyDescent="0.25">
      <c r="A44" s="6">
        <v>42180</v>
      </c>
      <c r="B44" s="6">
        <v>42183</v>
      </c>
      <c r="C44" s="7" t="s">
        <v>14</v>
      </c>
      <c r="D44" s="7" t="s">
        <v>15</v>
      </c>
      <c r="E44" s="7" t="s">
        <v>18</v>
      </c>
      <c r="F44" s="7">
        <v>90</v>
      </c>
      <c r="G44">
        <v>4.99</v>
      </c>
    </row>
    <row r="45" spans="1:7" x14ac:dyDescent="0.25">
      <c r="A45" s="8">
        <v>42180</v>
      </c>
      <c r="B45" s="8">
        <v>42183</v>
      </c>
      <c r="C45" s="9" t="s">
        <v>9</v>
      </c>
      <c r="D45" s="9" t="s">
        <v>28</v>
      </c>
      <c r="E45" s="9" t="s">
        <v>18</v>
      </c>
      <c r="F45" s="9">
        <v>90</v>
      </c>
      <c r="G45">
        <v>4.99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D3E-32B2-4F38-960A-61132D27095D}">
  <dimension ref="A1:J48"/>
  <sheetViews>
    <sheetView zoomScale="136" zoomScaleNormal="136" workbookViewId="0">
      <selection activeCell="F6" sqref="F6"/>
    </sheetView>
  </sheetViews>
  <sheetFormatPr defaultRowHeight="15" x14ac:dyDescent="0.25"/>
  <cols>
    <col min="1" max="1" width="11.5703125" customWidth="1"/>
    <col min="2" max="2" width="11.85546875" bestFit="1" customWidth="1"/>
    <col min="3" max="4" width="14.28515625" customWidth="1"/>
    <col min="5" max="5" width="8.42578125" customWidth="1"/>
    <col min="6" max="6" width="13.28515625" customWidth="1"/>
    <col min="7" max="7" width="7.7109375" bestFit="1" customWidth="1"/>
    <col min="8" max="8" width="6.85546875" customWidth="1"/>
    <col min="9" max="9" width="10.85546875" customWidth="1"/>
  </cols>
  <sheetData>
    <row r="1" spans="1:10" x14ac:dyDescent="0.25">
      <c r="A1" s="3" t="s">
        <v>32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25">
      <c r="A2" s="11">
        <v>44016</v>
      </c>
      <c r="B2" s="1">
        <v>44016</v>
      </c>
      <c r="C2" s="1">
        <v>44019</v>
      </c>
      <c r="D2" s="2">
        <f>C2-A2</f>
        <v>3</v>
      </c>
      <c r="E2" t="s">
        <v>9</v>
      </c>
      <c r="F2" t="s">
        <v>10</v>
      </c>
      <c r="G2" t="s">
        <v>11</v>
      </c>
      <c r="H2">
        <v>40</v>
      </c>
      <c r="I2">
        <v>4.99</v>
      </c>
      <c r="J2">
        <f>H2*I2</f>
        <v>199.60000000000002</v>
      </c>
    </row>
    <row r="3" spans="1:10" x14ac:dyDescent="0.25">
      <c r="A3" s="12">
        <v>44024</v>
      </c>
      <c r="B3" s="1">
        <v>44024</v>
      </c>
      <c r="C3" s="1">
        <v>44026</v>
      </c>
      <c r="D3" s="2">
        <f>C3-A3</f>
        <v>2</v>
      </c>
      <c r="E3" t="s">
        <v>9</v>
      </c>
      <c r="F3" t="s">
        <v>12</v>
      </c>
      <c r="G3" t="s">
        <v>13</v>
      </c>
      <c r="H3">
        <v>29</v>
      </c>
      <c r="I3">
        <v>1.99</v>
      </c>
      <c r="J3">
        <f t="shared" ref="J3:J48" si="0">H3*I3</f>
        <v>57.71</v>
      </c>
    </row>
    <row r="4" spans="1:10" x14ac:dyDescent="0.25">
      <c r="A4" s="11">
        <v>44033</v>
      </c>
      <c r="B4" s="1">
        <v>44033</v>
      </c>
      <c r="C4" s="1">
        <v>44034</v>
      </c>
      <c r="D4" s="2">
        <f t="shared" ref="D4:D44" si="1">C4-A4</f>
        <v>1</v>
      </c>
      <c r="E4" t="s">
        <v>14</v>
      </c>
      <c r="F4" t="s">
        <v>15</v>
      </c>
      <c r="G4" t="s">
        <v>11</v>
      </c>
      <c r="H4">
        <v>55</v>
      </c>
      <c r="I4">
        <v>12.49</v>
      </c>
      <c r="J4">
        <f t="shared" si="0"/>
        <v>686.95</v>
      </c>
    </row>
    <row r="5" spans="1:10" x14ac:dyDescent="0.25">
      <c r="A5" s="12">
        <v>44041</v>
      </c>
      <c r="B5" s="1">
        <v>44041</v>
      </c>
      <c r="C5" s="1">
        <v>44042</v>
      </c>
      <c r="D5" s="2">
        <f t="shared" si="1"/>
        <v>1</v>
      </c>
      <c r="E5" t="s">
        <v>9</v>
      </c>
      <c r="F5" t="s">
        <v>16</v>
      </c>
      <c r="G5" t="s">
        <v>13</v>
      </c>
      <c r="H5">
        <v>81</v>
      </c>
      <c r="I5">
        <v>19.989999999999998</v>
      </c>
      <c r="J5">
        <f t="shared" si="0"/>
        <v>1619.1899999999998</v>
      </c>
    </row>
    <row r="6" spans="1:10" x14ac:dyDescent="0.25">
      <c r="A6" s="11">
        <v>44050</v>
      </c>
      <c r="B6" s="1">
        <v>44050</v>
      </c>
      <c r="C6" s="1">
        <v>44056</v>
      </c>
      <c r="D6" s="2">
        <f t="shared" si="1"/>
        <v>6</v>
      </c>
      <c r="E6" t="s">
        <v>14</v>
      </c>
      <c r="F6" t="s">
        <v>17</v>
      </c>
      <c r="G6" t="s">
        <v>11</v>
      </c>
      <c r="H6">
        <v>42</v>
      </c>
      <c r="I6">
        <v>23.95</v>
      </c>
      <c r="J6">
        <f t="shared" si="0"/>
        <v>1005.9</v>
      </c>
    </row>
    <row r="7" spans="1:10" x14ac:dyDescent="0.25">
      <c r="A7" s="12">
        <v>44058</v>
      </c>
      <c r="B7" s="1">
        <v>44058</v>
      </c>
      <c r="C7" s="1">
        <v>44060</v>
      </c>
      <c r="D7" s="2">
        <f t="shared" si="1"/>
        <v>2</v>
      </c>
      <c r="E7" t="s">
        <v>9</v>
      </c>
      <c r="F7" t="s">
        <v>10</v>
      </c>
      <c r="G7" t="s">
        <v>18</v>
      </c>
      <c r="H7">
        <v>35</v>
      </c>
      <c r="I7">
        <v>4.99</v>
      </c>
      <c r="J7">
        <f t="shared" si="0"/>
        <v>174.65</v>
      </c>
    </row>
    <row r="8" spans="1:10" x14ac:dyDescent="0.25">
      <c r="A8" s="11">
        <v>44067</v>
      </c>
      <c r="B8" s="1">
        <v>44067</v>
      </c>
      <c r="C8" s="1">
        <v>44069</v>
      </c>
      <c r="D8" s="2">
        <f t="shared" si="1"/>
        <v>2</v>
      </c>
      <c r="E8" t="s">
        <v>19</v>
      </c>
      <c r="F8" t="s">
        <v>20</v>
      </c>
      <c r="G8" t="s">
        <v>21</v>
      </c>
      <c r="H8">
        <v>3</v>
      </c>
      <c r="I8">
        <v>275</v>
      </c>
      <c r="J8">
        <f t="shared" si="0"/>
        <v>825</v>
      </c>
    </row>
    <row r="9" spans="1:10" x14ac:dyDescent="0.25">
      <c r="A9" s="12">
        <v>44075</v>
      </c>
      <c r="B9" s="1">
        <v>44075</v>
      </c>
      <c r="C9" s="1">
        <v>44083</v>
      </c>
      <c r="D9" s="2">
        <f t="shared" si="1"/>
        <v>8</v>
      </c>
      <c r="E9" t="s">
        <v>14</v>
      </c>
      <c r="F9" t="s">
        <v>22</v>
      </c>
      <c r="G9" t="s">
        <v>21</v>
      </c>
      <c r="H9">
        <v>2</v>
      </c>
      <c r="I9">
        <v>125</v>
      </c>
      <c r="J9">
        <f t="shared" si="0"/>
        <v>250</v>
      </c>
    </row>
    <row r="10" spans="1:10" x14ac:dyDescent="0.25">
      <c r="A10" s="11">
        <v>44084</v>
      </c>
      <c r="B10" s="1">
        <v>44084</v>
      </c>
      <c r="C10" s="1">
        <v>44087</v>
      </c>
      <c r="D10" s="2">
        <f t="shared" si="1"/>
        <v>3</v>
      </c>
      <c r="E10" t="s">
        <v>14</v>
      </c>
      <c r="F10" t="s">
        <v>23</v>
      </c>
      <c r="G10" t="s">
        <v>18</v>
      </c>
      <c r="H10">
        <v>7</v>
      </c>
      <c r="I10">
        <v>1.29</v>
      </c>
      <c r="J10">
        <f t="shared" si="0"/>
        <v>9.0300000000000011</v>
      </c>
    </row>
    <row r="11" spans="1:10" x14ac:dyDescent="0.25">
      <c r="A11" s="12">
        <v>44092</v>
      </c>
      <c r="B11" s="1">
        <v>44092</v>
      </c>
      <c r="C11" s="1">
        <v>44095</v>
      </c>
      <c r="D11" s="2">
        <f t="shared" si="1"/>
        <v>3</v>
      </c>
      <c r="E11" t="s">
        <v>9</v>
      </c>
      <c r="F11" t="s">
        <v>10</v>
      </c>
      <c r="G11" t="s">
        <v>11</v>
      </c>
      <c r="H11">
        <v>16</v>
      </c>
      <c r="I11">
        <v>15.99</v>
      </c>
      <c r="J11">
        <f t="shared" si="0"/>
        <v>255.84</v>
      </c>
    </row>
    <row r="12" spans="1:10" x14ac:dyDescent="0.25">
      <c r="A12" s="11">
        <v>44101</v>
      </c>
      <c r="B12" s="1">
        <v>44101</v>
      </c>
      <c r="C12" s="1">
        <v>44103</v>
      </c>
      <c r="D12" s="2">
        <f t="shared" si="1"/>
        <v>2</v>
      </c>
      <c r="E12" t="s">
        <v>19</v>
      </c>
      <c r="F12" t="s">
        <v>20</v>
      </c>
      <c r="G12" t="s">
        <v>24</v>
      </c>
      <c r="H12">
        <v>76</v>
      </c>
      <c r="I12">
        <v>1.99</v>
      </c>
      <c r="J12">
        <f t="shared" si="0"/>
        <v>151.24</v>
      </c>
    </row>
    <row r="13" spans="1:10" x14ac:dyDescent="0.25">
      <c r="A13" s="12">
        <v>44109</v>
      </c>
      <c r="B13" s="1">
        <v>44109</v>
      </c>
      <c r="C13" s="1">
        <v>44110</v>
      </c>
      <c r="D13" s="2">
        <f t="shared" si="1"/>
        <v>1</v>
      </c>
      <c r="E13" t="s">
        <v>14</v>
      </c>
      <c r="F13" t="s">
        <v>15</v>
      </c>
      <c r="G13" t="s">
        <v>13</v>
      </c>
      <c r="H13">
        <v>28</v>
      </c>
      <c r="I13">
        <v>8.99</v>
      </c>
      <c r="J13">
        <f t="shared" si="0"/>
        <v>251.72</v>
      </c>
    </row>
    <row r="14" spans="1:10" x14ac:dyDescent="0.25">
      <c r="A14" s="11">
        <v>44118</v>
      </c>
      <c r="B14" s="1">
        <v>44118</v>
      </c>
      <c r="C14" s="1">
        <v>44120</v>
      </c>
      <c r="D14" s="2">
        <f t="shared" si="1"/>
        <v>2</v>
      </c>
      <c r="E14" t="s">
        <v>19</v>
      </c>
      <c r="F14" t="s">
        <v>25</v>
      </c>
      <c r="G14" t="s">
        <v>13</v>
      </c>
      <c r="H14">
        <v>47</v>
      </c>
      <c r="I14">
        <v>19.989999999999998</v>
      </c>
      <c r="J14">
        <f t="shared" si="0"/>
        <v>939.53</v>
      </c>
    </row>
    <row r="15" spans="1:10" x14ac:dyDescent="0.25">
      <c r="A15" s="12">
        <v>44126</v>
      </c>
      <c r="B15" s="1">
        <v>44126</v>
      </c>
      <c r="C15" s="1">
        <v>44130</v>
      </c>
      <c r="D15" s="2">
        <f t="shared" si="1"/>
        <v>4</v>
      </c>
      <c r="E15" t="s">
        <v>9</v>
      </c>
      <c r="F15" t="s">
        <v>10</v>
      </c>
      <c r="G15" t="s">
        <v>24</v>
      </c>
      <c r="H15">
        <v>64</v>
      </c>
      <c r="I15">
        <v>8.99</v>
      </c>
      <c r="J15">
        <f t="shared" si="0"/>
        <v>575.36</v>
      </c>
    </row>
    <row r="16" spans="1:10" x14ac:dyDescent="0.25">
      <c r="A16" s="11">
        <v>44135</v>
      </c>
      <c r="B16" s="1">
        <v>44135</v>
      </c>
      <c r="C16" s="1">
        <v>44135</v>
      </c>
      <c r="D16" s="2">
        <f t="shared" si="1"/>
        <v>0</v>
      </c>
      <c r="E16" t="s">
        <v>14</v>
      </c>
      <c r="F16" t="s">
        <v>26</v>
      </c>
      <c r="G16" t="s">
        <v>18</v>
      </c>
      <c r="H16">
        <v>14</v>
      </c>
      <c r="I16">
        <v>1.29</v>
      </c>
      <c r="J16">
        <f t="shared" si="0"/>
        <v>18.060000000000002</v>
      </c>
    </row>
    <row r="17" spans="1:10" x14ac:dyDescent="0.25">
      <c r="A17" s="12">
        <v>44143</v>
      </c>
      <c r="B17" s="1">
        <v>44143</v>
      </c>
      <c r="C17" s="1">
        <v>44147</v>
      </c>
      <c r="D17" s="2">
        <f t="shared" si="1"/>
        <v>4</v>
      </c>
      <c r="E17" t="s">
        <v>9</v>
      </c>
      <c r="F17" t="s">
        <v>16</v>
      </c>
      <c r="G17" t="s">
        <v>24</v>
      </c>
      <c r="H17">
        <v>15</v>
      </c>
      <c r="I17">
        <v>19.989999999999998</v>
      </c>
      <c r="J17">
        <f t="shared" si="0"/>
        <v>299.84999999999997</v>
      </c>
    </row>
    <row r="18" spans="1:10" x14ac:dyDescent="0.25">
      <c r="A18" s="11">
        <v>44152</v>
      </c>
      <c r="B18" s="1">
        <v>44152</v>
      </c>
      <c r="C18" s="1">
        <v>44154</v>
      </c>
      <c r="D18" s="2">
        <f t="shared" si="1"/>
        <v>2</v>
      </c>
      <c r="E18" t="s">
        <v>14</v>
      </c>
      <c r="F18" t="s">
        <v>27</v>
      </c>
      <c r="G18" t="s">
        <v>13</v>
      </c>
      <c r="H18">
        <v>11</v>
      </c>
      <c r="I18">
        <v>4.99</v>
      </c>
      <c r="J18">
        <f t="shared" si="0"/>
        <v>54.89</v>
      </c>
    </row>
    <row r="19" spans="1:10" x14ac:dyDescent="0.25">
      <c r="A19" s="12">
        <v>44160</v>
      </c>
      <c r="B19" s="1">
        <v>44160</v>
      </c>
      <c r="C19" s="1">
        <v>44164</v>
      </c>
      <c r="D19" s="2">
        <f t="shared" si="1"/>
        <v>4</v>
      </c>
      <c r="E19" t="s">
        <v>14</v>
      </c>
      <c r="F19" t="s">
        <v>17</v>
      </c>
      <c r="G19" t="s">
        <v>11</v>
      </c>
      <c r="H19">
        <v>96</v>
      </c>
      <c r="I19">
        <v>4.99</v>
      </c>
      <c r="J19">
        <f t="shared" si="0"/>
        <v>479.04</v>
      </c>
    </row>
    <row r="20" spans="1:10" x14ac:dyDescent="0.25">
      <c r="A20" s="11">
        <v>44169</v>
      </c>
      <c r="B20" s="1">
        <v>44169</v>
      </c>
      <c r="C20" s="1">
        <v>44174</v>
      </c>
      <c r="D20" s="2">
        <f t="shared" si="1"/>
        <v>5</v>
      </c>
      <c r="E20" t="s">
        <v>14</v>
      </c>
      <c r="F20" t="s">
        <v>27</v>
      </c>
      <c r="G20" t="s">
        <v>13</v>
      </c>
      <c r="H20">
        <v>94</v>
      </c>
      <c r="I20">
        <v>19.989999999999998</v>
      </c>
      <c r="J20">
        <f t="shared" si="0"/>
        <v>1879.06</v>
      </c>
    </row>
    <row r="21" spans="1:10" x14ac:dyDescent="0.25">
      <c r="A21" s="12">
        <v>44177</v>
      </c>
      <c r="B21" s="1">
        <v>44177</v>
      </c>
      <c r="C21" s="1">
        <v>44181</v>
      </c>
      <c r="D21" s="2">
        <f t="shared" si="1"/>
        <v>4</v>
      </c>
      <c r="E21" t="s">
        <v>14</v>
      </c>
      <c r="F21" t="s">
        <v>22</v>
      </c>
      <c r="G21" t="s">
        <v>18</v>
      </c>
      <c r="H21">
        <v>67</v>
      </c>
      <c r="I21">
        <v>1.29</v>
      </c>
      <c r="J21">
        <f t="shared" si="0"/>
        <v>86.43</v>
      </c>
    </row>
    <row r="22" spans="1:10" x14ac:dyDescent="0.25">
      <c r="A22" s="11">
        <v>44186</v>
      </c>
      <c r="B22" s="1">
        <v>44186</v>
      </c>
      <c r="C22" s="1">
        <v>44189</v>
      </c>
      <c r="D22" s="2">
        <f t="shared" si="1"/>
        <v>3</v>
      </c>
      <c r="E22" t="s">
        <v>14</v>
      </c>
      <c r="F22" t="s">
        <v>26</v>
      </c>
      <c r="G22" t="s">
        <v>13</v>
      </c>
      <c r="H22">
        <v>28</v>
      </c>
      <c r="I22">
        <v>4.99</v>
      </c>
      <c r="J22">
        <f t="shared" si="0"/>
        <v>139.72</v>
      </c>
    </row>
    <row r="23" spans="1:10" x14ac:dyDescent="0.25">
      <c r="A23" s="12">
        <v>44194</v>
      </c>
      <c r="B23" s="1">
        <v>44194</v>
      </c>
      <c r="C23" s="1">
        <v>44194</v>
      </c>
      <c r="D23" s="2">
        <f t="shared" si="1"/>
        <v>0</v>
      </c>
      <c r="E23" t="s">
        <v>9</v>
      </c>
      <c r="F23" t="s">
        <v>16</v>
      </c>
      <c r="G23" t="s">
        <v>11</v>
      </c>
      <c r="H23">
        <v>74</v>
      </c>
      <c r="I23">
        <v>15.99</v>
      </c>
      <c r="J23">
        <f t="shared" si="0"/>
        <v>1183.26</v>
      </c>
    </row>
    <row r="24" spans="1:10" x14ac:dyDescent="0.25">
      <c r="A24" s="11">
        <v>44202</v>
      </c>
      <c r="B24" s="1">
        <v>44202</v>
      </c>
      <c r="C24" s="1">
        <v>44203</v>
      </c>
      <c r="D24" s="2">
        <f t="shared" si="1"/>
        <v>1</v>
      </c>
      <c r="E24" t="s">
        <v>9</v>
      </c>
      <c r="F24" t="s">
        <v>10</v>
      </c>
      <c r="G24" t="s">
        <v>18</v>
      </c>
      <c r="H24">
        <v>95</v>
      </c>
      <c r="I24">
        <v>1.99</v>
      </c>
      <c r="J24">
        <f t="shared" si="0"/>
        <v>189.05</v>
      </c>
    </row>
    <row r="25" spans="1:10" x14ac:dyDescent="0.25">
      <c r="A25" s="12">
        <v>44211</v>
      </c>
      <c r="B25" s="1">
        <v>44211</v>
      </c>
      <c r="C25" s="1">
        <v>44215</v>
      </c>
      <c r="D25" s="2">
        <f t="shared" si="1"/>
        <v>4</v>
      </c>
      <c r="E25" t="s">
        <v>14</v>
      </c>
      <c r="F25" t="s">
        <v>23</v>
      </c>
      <c r="G25" t="s">
        <v>13</v>
      </c>
      <c r="H25">
        <v>46</v>
      </c>
      <c r="I25">
        <v>8.99</v>
      </c>
      <c r="J25">
        <f t="shared" si="0"/>
        <v>413.54</v>
      </c>
    </row>
    <row r="26" spans="1:10" x14ac:dyDescent="0.25">
      <c r="A26" s="11">
        <v>44219</v>
      </c>
      <c r="B26" s="1">
        <v>44219</v>
      </c>
      <c r="C26" s="1">
        <v>44220</v>
      </c>
      <c r="D26" s="2">
        <f t="shared" si="1"/>
        <v>1</v>
      </c>
      <c r="E26" t="s">
        <v>14</v>
      </c>
      <c r="F26" t="s">
        <v>17</v>
      </c>
      <c r="G26" t="s">
        <v>13</v>
      </c>
      <c r="H26">
        <v>50</v>
      </c>
      <c r="I26">
        <v>19.989999999999998</v>
      </c>
      <c r="J26">
        <f t="shared" si="0"/>
        <v>999.49999999999989</v>
      </c>
    </row>
    <row r="27" spans="1:10" x14ac:dyDescent="0.25">
      <c r="A27" s="12">
        <v>44228</v>
      </c>
      <c r="B27" s="1">
        <v>44228</v>
      </c>
      <c r="C27" s="1">
        <v>44233</v>
      </c>
      <c r="D27" s="2">
        <f t="shared" si="1"/>
        <v>5</v>
      </c>
      <c r="E27" t="s">
        <v>14</v>
      </c>
      <c r="F27" t="s">
        <v>22</v>
      </c>
      <c r="G27" t="s">
        <v>13</v>
      </c>
      <c r="H27">
        <v>87</v>
      </c>
      <c r="I27">
        <v>15</v>
      </c>
      <c r="J27">
        <f t="shared" si="0"/>
        <v>1305</v>
      </c>
    </row>
    <row r="28" spans="1:10" x14ac:dyDescent="0.25">
      <c r="A28" s="11">
        <v>44236</v>
      </c>
      <c r="B28" s="1">
        <v>44236</v>
      </c>
      <c r="C28" s="1">
        <v>44239</v>
      </c>
      <c r="D28" s="2">
        <f t="shared" si="1"/>
        <v>3</v>
      </c>
      <c r="E28" t="s">
        <v>14</v>
      </c>
      <c r="F28" t="s">
        <v>27</v>
      </c>
      <c r="G28" t="s">
        <v>18</v>
      </c>
      <c r="H28">
        <v>36</v>
      </c>
      <c r="I28">
        <v>4.99</v>
      </c>
      <c r="J28">
        <f t="shared" si="0"/>
        <v>179.64000000000001</v>
      </c>
    </row>
    <row r="29" spans="1:10" x14ac:dyDescent="0.25">
      <c r="A29" s="12">
        <v>44245</v>
      </c>
      <c r="B29" s="1">
        <v>44245</v>
      </c>
      <c r="C29" s="1">
        <v>44246</v>
      </c>
      <c r="D29" s="2">
        <f t="shared" si="1"/>
        <v>1</v>
      </c>
      <c r="E29" t="s">
        <v>9</v>
      </c>
      <c r="F29" t="s">
        <v>10</v>
      </c>
      <c r="G29" t="s">
        <v>13</v>
      </c>
      <c r="H29">
        <v>4</v>
      </c>
      <c r="I29">
        <v>4.99</v>
      </c>
      <c r="J29">
        <f t="shared" si="0"/>
        <v>19.96</v>
      </c>
    </row>
    <row r="30" spans="1:10" x14ac:dyDescent="0.25">
      <c r="A30" s="11">
        <v>44253</v>
      </c>
      <c r="B30" s="1">
        <v>44253</v>
      </c>
      <c r="C30" s="1">
        <v>44255</v>
      </c>
      <c r="D30" s="2">
        <f t="shared" si="1"/>
        <v>2</v>
      </c>
      <c r="E30" t="s">
        <v>14</v>
      </c>
      <c r="F30" t="s">
        <v>23</v>
      </c>
      <c r="G30" t="s">
        <v>24</v>
      </c>
      <c r="H30">
        <v>27</v>
      </c>
      <c r="I30">
        <v>19.989999999999998</v>
      </c>
      <c r="J30">
        <f t="shared" si="0"/>
        <v>539.7299999999999</v>
      </c>
    </row>
    <row r="31" spans="1:10" x14ac:dyDescent="0.25">
      <c r="A31" s="12">
        <v>44262</v>
      </c>
      <c r="B31" s="1">
        <v>44262</v>
      </c>
      <c r="C31" s="1">
        <v>44267</v>
      </c>
      <c r="D31" s="2">
        <f t="shared" si="1"/>
        <v>5</v>
      </c>
      <c r="E31" t="s">
        <v>19</v>
      </c>
      <c r="F31" t="s">
        <v>20</v>
      </c>
      <c r="G31" t="s">
        <v>13</v>
      </c>
      <c r="H31">
        <v>7</v>
      </c>
      <c r="I31">
        <v>19.989999999999998</v>
      </c>
      <c r="J31">
        <f t="shared" si="0"/>
        <v>139.92999999999998</v>
      </c>
    </row>
    <row r="32" spans="1:10" x14ac:dyDescent="0.25">
      <c r="A32" s="11">
        <v>44270</v>
      </c>
      <c r="B32" s="1">
        <v>44270</v>
      </c>
      <c r="C32" s="1">
        <v>44273</v>
      </c>
      <c r="D32" s="2">
        <f t="shared" si="1"/>
        <v>3</v>
      </c>
      <c r="E32" t="s">
        <v>19</v>
      </c>
      <c r="F32" t="s">
        <v>20</v>
      </c>
      <c r="G32" t="s">
        <v>18</v>
      </c>
      <c r="H32">
        <v>56</v>
      </c>
      <c r="I32">
        <v>2.99</v>
      </c>
      <c r="J32">
        <f t="shared" si="0"/>
        <v>167.44</v>
      </c>
    </row>
    <row r="33" spans="1:10" x14ac:dyDescent="0.25">
      <c r="A33" s="12">
        <v>44279</v>
      </c>
      <c r="B33" s="1">
        <v>44279</v>
      </c>
      <c r="C33" s="1">
        <v>44284</v>
      </c>
      <c r="D33" s="2">
        <f t="shared" si="1"/>
        <v>5</v>
      </c>
      <c r="E33" t="s">
        <v>14</v>
      </c>
      <c r="F33" t="s">
        <v>27</v>
      </c>
      <c r="G33" t="s">
        <v>11</v>
      </c>
      <c r="H33">
        <v>50</v>
      </c>
      <c r="I33">
        <v>4.99</v>
      </c>
      <c r="J33">
        <f t="shared" si="0"/>
        <v>249.5</v>
      </c>
    </row>
    <row r="34" spans="1:10" x14ac:dyDescent="0.25">
      <c r="A34" s="11">
        <v>44287</v>
      </c>
      <c r="B34" s="1">
        <v>44287</v>
      </c>
      <c r="C34" s="1">
        <v>44290</v>
      </c>
      <c r="D34" s="2">
        <f t="shared" si="1"/>
        <v>3</v>
      </c>
      <c r="E34" t="s">
        <v>9</v>
      </c>
      <c r="F34" t="s">
        <v>10</v>
      </c>
      <c r="G34" t="s">
        <v>13</v>
      </c>
      <c r="H34">
        <v>60</v>
      </c>
      <c r="I34">
        <v>4.99</v>
      </c>
      <c r="J34">
        <f t="shared" si="0"/>
        <v>299.40000000000003</v>
      </c>
    </row>
    <row r="35" spans="1:10" x14ac:dyDescent="0.25">
      <c r="A35" s="12">
        <v>44296</v>
      </c>
      <c r="B35" s="1">
        <v>44296</v>
      </c>
      <c r="C35" s="1">
        <v>44301</v>
      </c>
      <c r="D35" s="2">
        <f t="shared" si="1"/>
        <v>5</v>
      </c>
      <c r="E35" t="s">
        <v>14</v>
      </c>
      <c r="F35" t="s">
        <v>26</v>
      </c>
      <c r="G35" t="s">
        <v>18</v>
      </c>
      <c r="H35">
        <v>66</v>
      </c>
      <c r="I35">
        <v>1.99</v>
      </c>
      <c r="J35">
        <f t="shared" si="0"/>
        <v>131.34</v>
      </c>
    </row>
    <row r="36" spans="1:10" x14ac:dyDescent="0.25">
      <c r="A36" s="11">
        <v>44304</v>
      </c>
      <c r="B36" s="1">
        <v>44304</v>
      </c>
      <c r="C36" s="1">
        <v>44307</v>
      </c>
      <c r="D36" s="2">
        <f t="shared" si="1"/>
        <v>3</v>
      </c>
      <c r="E36" t="s">
        <v>14</v>
      </c>
      <c r="F36" t="s">
        <v>26</v>
      </c>
      <c r="G36" t="s">
        <v>18</v>
      </c>
      <c r="H36">
        <v>75</v>
      </c>
      <c r="I36">
        <v>1.99</v>
      </c>
      <c r="J36">
        <f t="shared" si="0"/>
        <v>149.25</v>
      </c>
    </row>
    <row r="37" spans="1:10" x14ac:dyDescent="0.25">
      <c r="A37" s="12">
        <v>44313</v>
      </c>
      <c r="B37" s="1">
        <v>44313</v>
      </c>
      <c r="C37" s="1">
        <v>44315</v>
      </c>
      <c r="D37" s="2">
        <f t="shared" si="1"/>
        <v>2</v>
      </c>
      <c r="E37" t="s">
        <v>9</v>
      </c>
      <c r="F37" t="s">
        <v>12</v>
      </c>
      <c r="G37" t="s">
        <v>24</v>
      </c>
      <c r="H37">
        <v>96</v>
      </c>
      <c r="I37">
        <v>4.99</v>
      </c>
      <c r="J37">
        <f t="shared" si="0"/>
        <v>479.04</v>
      </c>
    </row>
    <row r="38" spans="1:10" x14ac:dyDescent="0.25">
      <c r="A38" s="11">
        <v>44321</v>
      </c>
      <c r="B38" s="1">
        <v>44321</v>
      </c>
      <c r="C38" s="1">
        <v>44322</v>
      </c>
      <c r="D38" s="2">
        <f t="shared" si="1"/>
        <v>1</v>
      </c>
      <c r="E38" t="s">
        <v>14</v>
      </c>
      <c r="F38" t="s">
        <v>27</v>
      </c>
      <c r="G38" t="s">
        <v>18</v>
      </c>
      <c r="H38">
        <v>90</v>
      </c>
      <c r="I38">
        <v>4.99</v>
      </c>
      <c r="J38">
        <f t="shared" si="0"/>
        <v>449.1</v>
      </c>
    </row>
    <row r="39" spans="1:10" x14ac:dyDescent="0.25">
      <c r="A39" s="12">
        <v>44330</v>
      </c>
      <c r="B39" s="1">
        <v>44330</v>
      </c>
      <c r="C39" s="1">
        <v>44334</v>
      </c>
      <c r="D39" s="2">
        <f t="shared" si="1"/>
        <v>4</v>
      </c>
      <c r="E39" t="s">
        <v>14</v>
      </c>
      <c r="F39" t="s">
        <v>23</v>
      </c>
      <c r="G39" t="s">
        <v>18</v>
      </c>
      <c r="H39">
        <v>53</v>
      </c>
      <c r="I39">
        <v>1.29</v>
      </c>
      <c r="J39">
        <f t="shared" si="0"/>
        <v>68.37</v>
      </c>
    </row>
    <row r="40" spans="1:10" x14ac:dyDescent="0.25">
      <c r="A40" s="11">
        <v>44338</v>
      </c>
      <c r="B40" s="1">
        <v>44338</v>
      </c>
      <c r="C40" s="1">
        <v>44342</v>
      </c>
      <c r="D40" s="2">
        <f t="shared" si="1"/>
        <v>4</v>
      </c>
      <c r="E40" t="s">
        <v>19</v>
      </c>
      <c r="F40" t="s">
        <v>25</v>
      </c>
      <c r="G40" t="s">
        <v>18</v>
      </c>
      <c r="H40">
        <v>32</v>
      </c>
      <c r="I40">
        <v>1.99</v>
      </c>
      <c r="J40">
        <f t="shared" si="0"/>
        <v>63.68</v>
      </c>
    </row>
    <row r="41" spans="1:10" x14ac:dyDescent="0.25">
      <c r="A41" s="12">
        <v>44347</v>
      </c>
      <c r="B41" s="1">
        <v>44347</v>
      </c>
      <c r="C41" s="1">
        <v>44347</v>
      </c>
      <c r="D41" s="2">
        <f t="shared" si="1"/>
        <v>0</v>
      </c>
      <c r="E41" t="s">
        <v>14</v>
      </c>
      <c r="F41" t="s">
        <v>23</v>
      </c>
      <c r="G41" t="s">
        <v>13</v>
      </c>
      <c r="H41">
        <v>80</v>
      </c>
      <c r="I41">
        <v>8.99</v>
      </c>
      <c r="J41">
        <f t="shared" si="0"/>
        <v>719.2</v>
      </c>
    </row>
    <row r="42" spans="1:10" x14ac:dyDescent="0.25">
      <c r="A42" s="11">
        <v>44355</v>
      </c>
      <c r="B42" s="1">
        <v>44355</v>
      </c>
      <c r="C42" s="1">
        <v>44359</v>
      </c>
      <c r="D42" s="2">
        <f t="shared" si="1"/>
        <v>4</v>
      </c>
      <c r="E42" t="s">
        <v>9</v>
      </c>
      <c r="F42" t="s">
        <v>10</v>
      </c>
      <c r="G42" t="s">
        <v>13</v>
      </c>
      <c r="H42">
        <v>60</v>
      </c>
      <c r="I42">
        <v>8.99</v>
      </c>
      <c r="J42">
        <f t="shared" si="0"/>
        <v>539.4</v>
      </c>
    </row>
    <row r="43" spans="1:10" x14ac:dyDescent="0.25">
      <c r="A43" s="12">
        <v>44364</v>
      </c>
      <c r="B43" s="1">
        <v>44364</v>
      </c>
      <c r="C43" s="1">
        <v>44368</v>
      </c>
      <c r="D43" s="2">
        <f t="shared" si="1"/>
        <v>4</v>
      </c>
      <c r="E43" t="s">
        <v>14</v>
      </c>
      <c r="F43" t="s">
        <v>17</v>
      </c>
      <c r="G43" t="s">
        <v>21</v>
      </c>
      <c r="H43">
        <v>5</v>
      </c>
      <c r="I43">
        <v>125</v>
      </c>
      <c r="J43">
        <f t="shared" si="0"/>
        <v>625</v>
      </c>
    </row>
    <row r="44" spans="1:10" x14ac:dyDescent="0.25">
      <c r="A44" s="11">
        <v>44372</v>
      </c>
      <c r="B44" s="1">
        <v>44372</v>
      </c>
      <c r="C44" s="1">
        <v>44375</v>
      </c>
      <c r="D44" s="2">
        <f t="shared" si="1"/>
        <v>3</v>
      </c>
      <c r="E44" t="s">
        <v>14</v>
      </c>
      <c r="F44" t="s">
        <v>15</v>
      </c>
      <c r="G44" t="s">
        <v>18</v>
      </c>
      <c r="H44">
        <v>90</v>
      </c>
      <c r="I44">
        <v>4.99</v>
      </c>
      <c r="J44">
        <f t="shared" si="0"/>
        <v>449.1</v>
      </c>
    </row>
    <row r="45" spans="1:10" x14ac:dyDescent="0.25">
      <c r="A45" s="12">
        <v>44372</v>
      </c>
      <c r="B45" s="1">
        <v>44372</v>
      </c>
      <c r="C45" s="1">
        <v>44375</v>
      </c>
      <c r="D45" s="2">
        <f t="shared" ref="D45:D47" si="2">C45-A45</f>
        <v>3</v>
      </c>
      <c r="E45" t="s">
        <v>9</v>
      </c>
      <c r="F45" t="s">
        <v>28</v>
      </c>
      <c r="G45" t="s">
        <v>18</v>
      </c>
      <c r="H45">
        <v>80</v>
      </c>
      <c r="I45">
        <v>4.99</v>
      </c>
      <c r="J45">
        <f t="shared" si="0"/>
        <v>399.20000000000005</v>
      </c>
    </row>
    <row r="46" spans="1:10" x14ac:dyDescent="0.25">
      <c r="A46" s="12">
        <v>44364</v>
      </c>
      <c r="B46" s="1">
        <v>44364</v>
      </c>
      <c r="C46" s="1">
        <v>44368</v>
      </c>
      <c r="D46" s="2">
        <f t="shared" si="2"/>
        <v>4</v>
      </c>
      <c r="E46" t="s">
        <v>14</v>
      </c>
      <c r="F46" t="s">
        <v>17</v>
      </c>
      <c r="G46" t="s">
        <v>21</v>
      </c>
      <c r="H46">
        <v>100</v>
      </c>
      <c r="I46">
        <v>125</v>
      </c>
      <c r="J46">
        <f t="shared" si="0"/>
        <v>12500</v>
      </c>
    </row>
    <row r="47" spans="1:10" x14ac:dyDescent="0.25">
      <c r="A47" s="11">
        <v>44372</v>
      </c>
      <c r="B47" s="1">
        <v>44372</v>
      </c>
      <c r="C47" s="1">
        <v>44375</v>
      </c>
      <c r="D47" s="2">
        <f t="shared" si="2"/>
        <v>3</v>
      </c>
      <c r="E47" t="s">
        <v>14</v>
      </c>
      <c r="F47" t="s">
        <v>15</v>
      </c>
      <c r="G47" t="s">
        <v>18</v>
      </c>
      <c r="H47">
        <v>200</v>
      </c>
      <c r="I47">
        <v>4.99</v>
      </c>
      <c r="J47">
        <f t="shared" si="0"/>
        <v>998</v>
      </c>
    </row>
    <row r="48" spans="1:10" x14ac:dyDescent="0.25">
      <c r="A48" s="15">
        <v>44372</v>
      </c>
      <c r="B48" s="1">
        <v>44372</v>
      </c>
      <c r="C48" s="1">
        <v>44375</v>
      </c>
      <c r="D48" s="2">
        <f t="shared" ref="D48" si="3">C48-A48</f>
        <v>3</v>
      </c>
      <c r="E48" t="s">
        <v>9</v>
      </c>
      <c r="F48" t="s">
        <v>28</v>
      </c>
      <c r="G48" t="s">
        <v>18</v>
      </c>
      <c r="H48">
        <v>300</v>
      </c>
      <c r="I48">
        <v>4.99</v>
      </c>
      <c r="J48">
        <f t="shared" si="0"/>
        <v>1497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C70D4-E39B-46D9-8451-2392F12AB5F7}">
  <dimension ref="A1:J45"/>
  <sheetViews>
    <sheetView tabSelected="1" workbookViewId="0">
      <selection activeCell="D5" sqref="D5"/>
    </sheetView>
  </sheetViews>
  <sheetFormatPr defaultRowHeight="15" x14ac:dyDescent="0.25"/>
  <cols>
    <col min="1" max="1" width="11.7109375" customWidth="1"/>
    <col min="2" max="2" width="12.140625" customWidth="1"/>
    <col min="3" max="3" width="14.85546875" customWidth="1"/>
    <col min="4" max="4" width="14" customWidth="1"/>
    <col min="5" max="9" width="10.85546875" customWidth="1"/>
    <col min="10" max="10" width="11.85546875" customWidth="1"/>
  </cols>
  <sheetData>
    <row r="1" spans="1:10" ht="20.25" customHeight="1" x14ac:dyDescent="0.25">
      <c r="A1" s="26" t="s">
        <v>32</v>
      </c>
      <c r="B1" s="21" t="s">
        <v>48</v>
      </c>
      <c r="C1" s="22" t="s">
        <v>1</v>
      </c>
      <c r="D1" s="22" t="s">
        <v>46</v>
      </c>
      <c r="E1" s="22" t="s">
        <v>3</v>
      </c>
      <c r="F1" s="22" t="s">
        <v>31</v>
      </c>
      <c r="G1" s="22" t="s">
        <v>5</v>
      </c>
      <c r="H1" s="22" t="s">
        <v>6</v>
      </c>
      <c r="I1" s="23" t="s">
        <v>7</v>
      </c>
      <c r="J1" s="23" t="s">
        <v>47</v>
      </c>
    </row>
    <row r="2" spans="1:10" x14ac:dyDescent="0.25">
      <c r="A2" s="24">
        <v>41824</v>
      </c>
      <c r="B2" s="18">
        <v>41824</v>
      </c>
      <c r="C2" s="18">
        <v>41827</v>
      </c>
      <c r="D2" s="20">
        <f>Table5[[#This Row],[Delivery Date]]-Table5[[#This Row],[Order Date]]</f>
        <v>3</v>
      </c>
      <c r="E2" s="16" t="s">
        <v>9</v>
      </c>
      <c r="F2" s="16" t="s">
        <v>10</v>
      </c>
      <c r="G2" s="16" t="s">
        <v>11</v>
      </c>
      <c r="H2" s="16">
        <v>62</v>
      </c>
      <c r="I2" s="16">
        <v>4.99</v>
      </c>
      <c r="J2" s="16">
        <f>Table5[[#This Row],[Units]]*Table5[[#This Row],[Unit Price]]</f>
        <v>309.38</v>
      </c>
    </row>
    <row r="3" spans="1:10" x14ac:dyDescent="0.25">
      <c r="A3" s="25">
        <v>41832</v>
      </c>
      <c r="B3" s="18">
        <v>41832</v>
      </c>
      <c r="C3" s="18">
        <v>41834</v>
      </c>
      <c r="D3" s="20">
        <f>Table5[[#This Row],[Delivery Date]]-Table5[[#This Row],[Order Date]]</f>
        <v>2</v>
      </c>
      <c r="E3" s="16" t="s">
        <v>9</v>
      </c>
      <c r="F3" s="16" t="s">
        <v>12</v>
      </c>
      <c r="G3" s="16" t="s">
        <v>13</v>
      </c>
      <c r="H3" s="16">
        <v>29</v>
      </c>
      <c r="I3" s="16">
        <v>1.99</v>
      </c>
      <c r="J3" s="16">
        <f>Table5[[#This Row],[Units]]*Table5[[#This Row],[Unit Price]]</f>
        <v>57.71</v>
      </c>
    </row>
    <row r="4" spans="1:10" x14ac:dyDescent="0.25">
      <c r="A4" s="24">
        <v>41841</v>
      </c>
      <c r="B4" s="18">
        <v>41841</v>
      </c>
      <c r="C4" s="18">
        <v>41842</v>
      </c>
      <c r="D4" s="20">
        <f>Table5[[#This Row],[Delivery Date]]-Table5[[#This Row],[Order Date]]</f>
        <v>1</v>
      </c>
      <c r="E4" s="16" t="s">
        <v>14</v>
      </c>
      <c r="F4" s="16" t="s">
        <v>15</v>
      </c>
      <c r="G4" s="16" t="s">
        <v>11</v>
      </c>
      <c r="H4" s="16">
        <v>55</v>
      </c>
      <c r="I4" s="16">
        <v>12.49</v>
      </c>
      <c r="J4" s="16">
        <f>Table5[[#This Row],[Units]]*Table5[[#This Row],[Unit Price]]</f>
        <v>686.95</v>
      </c>
    </row>
    <row r="5" spans="1:10" x14ac:dyDescent="0.25">
      <c r="A5" s="25">
        <v>41849</v>
      </c>
      <c r="B5" s="18">
        <v>41849</v>
      </c>
      <c r="C5" s="18">
        <v>41850</v>
      </c>
      <c r="D5" s="20">
        <f>Table5[[#This Row],[Delivery Date]]-Table5[[#This Row],[Order Date]]</f>
        <v>1</v>
      </c>
      <c r="E5" s="16" t="s">
        <v>9</v>
      </c>
      <c r="F5" s="16" t="s">
        <v>16</v>
      </c>
      <c r="G5" s="16" t="s">
        <v>13</v>
      </c>
      <c r="H5" s="16">
        <v>81</v>
      </c>
      <c r="I5" s="16">
        <v>19.989999999999998</v>
      </c>
      <c r="J5" s="16">
        <f>Table5[[#This Row],[Units]]*Table5[[#This Row],[Unit Price]]</f>
        <v>1619.1899999999998</v>
      </c>
    </row>
    <row r="6" spans="1:10" x14ac:dyDescent="0.25">
      <c r="A6" s="24">
        <v>41858</v>
      </c>
      <c r="B6" s="18">
        <v>41858</v>
      </c>
      <c r="C6" s="18">
        <v>41864</v>
      </c>
      <c r="D6" s="20">
        <f>Table5[[#This Row],[Delivery Date]]-Table5[[#This Row],[Order Date]]</f>
        <v>6</v>
      </c>
      <c r="E6" s="16" t="s">
        <v>14</v>
      </c>
      <c r="F6" s="16" t="s">
        <v>17</v>
      </c>
      <c r="G6" s="16" t="s">
        <v>11</v>
      </c>
      <c r="H6" s="16">
        <v>42</v>
      </c>
      <c r="I6" s="16">
        <v>23.95</v>
      </c>
      <c r="J6" s="16">
        <f>Table5[[#This Row],[Units]]*Table5[[#This Row],[Unit Price]]</f>
        <v>1005.9</v>
      </c>
    </row>
    <row r="7" spans="1:10" x14ac:dyDescent="0.25">
      <c r="A7" s="25">
        <v>41866</v>
      </c>
      <c r="B7" s="18">
        <v>41866</v>
      </c>
      <c r="C7" s="18">
        <v>41868</v>
      </c>
      <c r="D7" s="20">
        <f>Table5[[#This Row],[Delivery Date]]-Table5[[#This Row],[Order Date]]</f>
        <v>2</v>
      </c>
      <c r="E7" s="16" t="s">
        <v>9</v>
      </c>
      <c r="F7" s="16" t="s">
        <v>10</v>
      </c>
      <c r="G7" s="16" t="s">
        <v>18</v>
      </c>
      <c r="H7" s="16">
        <v>35</v>
      </c>
      <c r="I7" s="16">
        <v>4.99</v>
      </c>
      <c r="J7" s="16">
        <f>Table5[[#This Row],[Units]]*Table5[[#This Row],[Unit Price]]</f>
        <v>174.65</v>
      </c>
    </row>
    <row r="8" spans="1:10" x14ac:dyDescent="0.25">
      <c r="A8" s="24">
        <v>41875</v>
      </c>
      <c r="B8" s="18">
        <v>41875</v>
      </c>
      <c r="C8" s="18">
        <v>41877</v>
      </c>
      <c r="D8" s="20">
        <f>Table5[[#This Row],[Delivery Date]]-Table5[[#This Row],[Order Date]]</f>
        <v>2</v>
      </c>
      <c r="E8" s="16" t="s">
        <v>19</v>
      </c>
      <c r="F8" s="16" t="s">
        <v>20</v>
      </c>
      <c r="G8" s="16" t="s">
        <v>21</v>
      </c>
      <c r="H8" s="16">
        <v>3</v>
      </c>
      <c r="I8" s="16">
        <v>275</v>
      </c>
      <c r="J8" s="16">
        <f>Table5[[#This Row],[Units]]*Table5[[#This Row],[Unit Price]]</f>
        <v>825</v>
      </c>
    </row>
    <row r="9" spans="1:10" x14ac:dyDescent="0.25">
      <c r="A9" s="25">
        <v>41883</v>
      </c>
      <c r="B9" s="18">
        <v>41883</v>
      </c>
      <c r="C9" s="18">
        <v>41891</v>
      </c>
      <c r="D9" s="20">
        <f>Table5[[#This Row],[Delivery Date]]-Table5[[#This Row],[Order Date]]</f>
        <v>8</v>
      </c>
      <c r="E9" s="16" t="s">
        <v>14</v>
      </c>
      <c r="F9" s="16" t="s">
        <v>22</v>
      </c>
      <c r="G9" s="16" t="s">
        <v>21</v>
      </c>
      <c r="H9" s="16">
        <v>2</v>
      </c>
      <c r="I9" s="16">
        <v>125</v>
      </c>
      <c r="J9" s="16">
        <f>Table5[[#This Row],[Units]]*Table5[[#This Row],[Unit Price]]</f>
        <v>250</v>
      </c>
    </row>
    <row r="10" spans="1:10" x14ac:dyDescent="0.25">
      <c r="A10" s="24">
        <v>41892</v>
      </c>
      <c r="B10" s="18">
        <v>41892</v>
      </c>
      <c r="C10" s="18">
        <v>41895</v>
      </c>
      <c r="D10" s="20">
        <f>Table5[[#This Row],[Delivery Date]]-Table5[[#This Row],[Order Date]]</f>
        <v>3</v>
      </c>
      <c r="E10" s="16" t="s">
        <v>14</v>
      </c>
      <c r="F10" s="16" t="s">
        <v>23</v>
      </c>
      <c r="G10" s="16" t="s">
        <v>18</v>
      </c>
      <c r="H10" s="16">
        <v>7</v>
      </c>
      <c r="I10" s="16">
        <v>1.29</v>
      </c>
      <c r="J10" s="16">
        <f>Table5[[#This Row],[Units]]*Table5[[#This Row],[Unit Price]]</f>
        <v>9.0300000000000011</v>
      </c>
    </row>
    <row r="11" spans="1:10" x14ac:dyDescent="0.25">
      <c r="A11" s="25">
        <v>41900</v>
      </c>
      <c r="B11" s="18">
        <v>41900</v>
      </c>
      <c r="C11" s="18">
        <v>41903</v>
      </c>
      <c r="D11" s="20">
        <f>Table5[[#This Row],[Delivery Date]]-Table5[[#This Row],[Order Date]]</f>
        <v>3</v>
      </c>
      <c r="E11" s="16" t="s">
        <v>9</v>
      </c>
      <c r="F11" s="16" t="s">
        <v>10</v>
      </c>
      <c r="G11" s="16" t="s">
        <v>11</v>
      </c>
      <c r="H11" s="16">
        <v>16</v>
      </c>
      <c r="I11" s="16">
        <v>15.99</v>
      </c>
      <c r="J11" s="16">
        <f>Table5[[#This Row],[Units]]*Table5[[#This Row],[Unit Price]]</f>
        <v>255.84</v>
      </c>
    </row>
    <row r="12" spans="1:10" x14ac:dyDescent="0.25">
      <c r="A12" s="24">
        <v>41909</v>
      </c>
      <c r="B12" s="18">
        <v>41909</v>
      </c>
      <c r="C12" s="18">
        <v>41911</v>
      </c>
      <c r="D12" s="20">
        <f>Table5[[#This Row],[Delivery Date]]-Table5[[#This Row],[Order Date]]</f>
        <v>2</v>
      </c>
      <c r="E12" s="16" t="s">
        <v>19</v>
      </c>
      <c r="F12" s="16" t="s">
        <v>20</v>
      </c>
      <c r="G12" s="16" t="s">
        <v>24</v>
      </c>
      <c r="H12" s="16">
        <v>76</v>
      </c>
      <c r="I12" s="16">
        <v>1.99</v>
      </c>
      <c r="J12" s="16">
        <f>Table5[[#This Row],[Units]]*Table5[[#This Row],[Unit Price]]</f>
        <v>151.24</v>
      </c>
    </row>
    <row r="13" spans="1:10" x14ac:dyDescent="0.25">
      <c r="A13" s="25">
        <v>41917</v>
      </c>
      <c r="B13" s="18">
        <v>41917</v>
      </c>
      <c r="C13" s="18">
        <v>41918</v>
      </c>
      <c r="D13" s="20">
        <f>Table5[[#This Row],[Delivery Date]]-Table5[[#This Row],[Order Date]]</f>
        <v>1</v>
      </c>
      <c r="E13" s="16" t="s">
        <v>14</v>
      </c>
      <c r="F13" s="16" t="s">
        <v>15</v>
      </c>
      <c r="G13" s="16" t="s">
        <v>13</v>
      </c>
      <c r="H13" s="16">
        <v>28</v>
      </c>
      <c r="I13" s="16">
        <v>8.99</v>
      </c>
      <c r="J13" s="16">
        <f>Table5[[#This Row],[Units]]*Table5[[#This Row],[Unit Price]]</f>
        <v>251.72</v>
      </c>
    </row>
    <row r="14" spans="1:10" x14ac:dyDescent="0.25">
      <c r="A14" s="24">
        <v>41926</v>
      </c>
      <c r="B14" s="18">
        <v>41926</v>
      </c>
      <c r="C14" s="18">
        <v>41928</v>
      </c>
      <c r="D14" s="20">
        <f>Table5[[#This Row],[Delivery Date]]-Table5[[#This Row],[Order Date]]</f>
        <v>2</v>
      </c>
      <c r="E14" s="16" t="s">
        <v>19</v>
      </c>
      <c r="F14" s="16" t="s">
        <v>25</v>
      </c>
      <c r="G14" s="16" t="s">
        <v>13</v>
      </c>
      <c r="H14" s="16">
        <v>57</v>
      </c>
      <c r="I14" s="16">
        <v>19.989999999999998</v>
      </c>
      <c r="J14" s="16">
        <f>Table5[[#This Row],[Units]]*Table5[[#This Row],[Unit Price]]</f>
        <v>1139.4299999999998</v>
      </c>
    </row>
    <row r="15" spans="1:10" x14ac:dyDescent="0.25">
      <c r="A15" s="25">
        <v>41934</v>
      </c>
      <c r="B15" s="18">
        <v>41934</v>
      </c>
      <c r="C15" s="18">
        <v>41938</v>
      </c>
      <c r="D15" s="20">
        <f>Table5[[#This Row],[Delivery Date]]-Table5[[#This Row],[Order Date]]</f>
        <v>4</v>
      </c>
      <c r="E15" s="16" t="s">
        <v>9</v>
      </c>
      <c r="F15" s="16" t="s">
        <v>10</v>
      </c>
      <c r="G15" s="16" t="s">
        <v>24</v>
      </c>
      <c r="H15" s="16">
        <v>64</v>
      </c>
      <c r="I15" s="16">
        <v>8.99</v>
      </c>
      <c r="J15" s="16">
        <f>Table5[[#This Row],[Units]]*Table5[[#This Row],[Unit Price]]</f>
        <v>575.36</v>
      </c>
    </row>
    <row r="16" spans="1:10" x14ac:dyDescent="0.25">
      <c r="A16" s="24">
        <v>41943</v>
      </c>
      <c r="B16" s="18">
        <v>41943</v>
      </c>
      <c r="C16" s="18">
        <v>41943</v>
      </c>
      <c r="D16" s="20">
        <f>Table5[[#This Row],[Delivery Date]]-Table5[[#This Row],[Order Date]]</f>
        <v>0</v>
      </c>
      <c r="E16" s="16" t="s">
        <v>14</v>
      </c>
      <c r="F16" s="16" t="s">
        <v>26</v>
      </c>
      <c r="G16" s="16" t="s">
        <v>18</v>
      </c>
      <c r="H16" s="16">
        <v>14</v>
      </c>
      <c r="I16" s="16">
        <v>1.29</v>
      </c>
      <c r="J16" s="16">
        <f>Table5[[#This Row],[Units]]*Table5[[#This Row],[Unit Price]]</f>
        <v>18.060000000000002</v>
      </c>
    </row>
    <row r="17" spans="1:10" x14ac:dyDescent="0.25">
      <c r="A17" s="25">
        <v>41951</v>
      </c>
      <c r="B17" s="18">
        <v>41951</v>
      </c>
      <c r="C17" s="18">
        <v>41955</v>
      </c>
      <c r="D17" s="20">
        <f>Table5[[#This Row],[Delivery Date]]-Table5[[#This Row],[Order Date]]</f>
        <v>4</v>
      </c>
      <c r="E17" s="16" t="s">
        <v>9</v>
      </c>
      <c r="F17" s="16" t="s">
        <v>16</v>
      </c>
      <c r="G17" s="16" t="s">
        <v>24</v>
      </c>
      <c r="H17" s="16">
        <v>15</v>
      </c>
      <c r="I17" s="16">
        <v>19.989999999999998</v>
      </c>
      <c r="J17" s="16">
        <f>Table5[[#This Row],[Units]]*Table5[[#This Row],[Unit Price]]</f>
        <v>299.84999999999997</v>
      </c>
    </row>
    <row r="18" spans="1:10" x14ac:dyDescent="0.25">
      <c r="A18" s="24">
        <v>41960</v>
      </c>
      <c r="B18" s="18">
        <v>41960</v>
      </c>
      <c r="C18" s="18">
        <v>41962</v>
      </c>
      <c r="D18" s="20">
        <f>Table5[[#This Row],[Delivery Date]]-Table5[[#This Row],[Order Date]]</f>
        <v>2</v>
      </c>
      <c r="E18" s="16" t="s">
        <v>14</v>
      </c>
      <c r="F18" s="16" t="s">
        <v>27</v>
      </c>
      <c r="G18" s="16" t="s">
        <v>13</v>
      </c>
      <c r="H18" s="16">
        <v>11</v>
      </c>
      <c r="I18" s="16">
        <v>4.99</v>
      </c>
      <c r="J18" s="16">
        <f>Table5[[#This Row],[Units]]*Table5[[#This Row],[Unit Price]]</f>
        <v>54.89</v>
      </c>
    </row>
    <row r="19" spans="1:10" x14ac:dyDescent="0.25">
      <c r="A19" s="25">
        <v>41968</v>
      </c>
      <c r="B19" s="18">
        <v>41968</v>
      </c>
      <c r="C19" s="18">
        <v>41972</v>
      </c>
      <c r="D19" s="20">
        <f>Table5[[#This Row],[Delivery Date]]-Table5[[#This Row],[Order Date]]</f>
        <v>4</v>
      </c>
      <c r="E19" s="16" t="s">
        <v>14</v>
      </c>
      <c r="F19" s="16" t="s">
        <v>17</v>
      </c>
      <c r="G19" s="16" t="s">
        <v>11</v>
      </c>
      <c r="H19" s="16">
        <v>96</v>
      </c>
      <c r="I19" s="16">
        <v>4.99</v>
      </c>
      <c r="J19" s="16">
        <f>Table5[[#This Row],[Units]]*Table5[[#This Row],[Unit Price]]</f>
        <v>479.04</v>
      </c>
    </row>
    <row r="20" spans="1:10" x14ac:dyDescent="0.25">
      <c r="A20" s="24">
        <v>41977</v>
      </c>
      <c r="B20" s="18">
        <v>41977</v>
      </c>
      <c r="C20" s="18">
        <v>41982</v>
      </c>
      <c r="D20" s="20">
        <f>Table5[[#This Row],[Delivery Date]]-Table5[[#This Row],[Order Date]]</f>
        <v>5</v>
      </c>
      <c r="E20" s="16" t="s">
        <v>14</v>
      </c>
      <c r="F20" s="16" t="s">
        <v>27</v>
      </c>
      <c r="G20" s="16" t="s">
        <v>13</v>
      </c>
      <c r="H20" s="16">
        <v>94</v>
      </c>
      <c r="I20" s="16">
        <v>19.989999999999998</v>
      </c>
      <c r="J20" s="16">
        <f>Table5[[#This Row],[Units]]*Table5[[#This Row],[Unit Price]]</f>
        <v>1879.06</v>
      </c>
    </row>
    <row r="21" spans="1:10" x14ac:dyDescent="0.25">
      <c r="A21" s="25">
        <v>41985</v>
      </c>
      <c r="B21" s="18">
        <v>41985</v>
      </c>
      <c r="C21" s="18">
        <v>41989</v>
      </c>
      <c r="D21" s="20">
        <f>Table5[[#This Row],[Delivery Date]]-Table5[[#This Row],[Order Date]]</f>
        <v>4</v>
      </c>
      <c r="E21" s="16" t="s">
        <v>14</v>
      </c>
      <c r="F21" s="16" t="s">
        <v>22</v>
      </c>
      <c r="G21" s="16" t="s">
        <v>18</v>
      </c>
      <c r="H21" s="16">
        <v>67</v>
      </c>
      <c r="I21" s="16">
        <v>1.29</v>
      </c>
      <c r="J21" s="16">
        <f>Table5[[#This Row],[Units]]*Table5[[#This Row],[Unit Price]]</f>
        <v>86.43</v>
      </c>
    </row>
    <row r="22" spans="1:10" x14ac:dyDescent="0.25">
      <c r="A22" s="24">
        <v>41994</v>
      </c>
      <c r="B22" s="18">
        <v>41994</v>
      </c>
      <c r="C22" s="18">
        <v>41997</v>
      </c>
      <c r="D22" s="20">
        <f>Table5[[#This Row],[Delivery Date]]-Table5[[#This Row],[Order Date]]</f>
        <v>3</v>
      </c>
      <c r="E22" s="16" t="s">
        <v>14</v>
      </c>
      <c r="F22" s="16" t="s">
        <v>26</v>
      </c>
      <c r="G22" s="16" t="s">
        <v>13</v>
      </c>
      <c r="H22" s="16">
        <v>28</v>
      </c>
      <c r="I22" s="16">
        <v>4.99</v>
      </c>
      <c r="J22" s="16">
        <f>Table5[[#This Row],[Units]]*Table5[[#This Row],[Unit Price]]</f>
        <v>139.72</v>
      </c>
    </row>
    <row r="23" spans="1:10" x14ac:dyDescent="0.25">
      <c r="A23" s="25">
        <v>42002</v>
      </c>
      <c r="B23" s="18">
        <v>42002</v>
      </c>
      <c r="C23" s="18">
        <v>42002</v>
      </c>
      <c r="D23" s="20">
        <f>Table5[[#This Row],[Delivery Date]]-Table5[[#This Row],[Order Date]]</f>
        <v>0</v>
      </c>
      <c r="E23" s="16" t="s">
        <v>9</v>
      </c>
      <c r="F23" s="16" t="s">
        <v>16</v>
      </c>
      <c r="G23" s="16" t="s">
        <v>11</v>
      </c>
      <c r="H23" s="16">
        <v>74</v>
      </c>
      <c r="I23" s="16">
        <v>15.99</v>
      </c>
      <c r="J23" s="16">
        <f>Table5[[#This Row],[Units]]*Table5[[#This Row],[Unit Price]]</f>
        <v>1183.26</v>
      </c>
    </row>
    <row r="24" spans="1:10" x14ac:dyDescent="0.25">
      <c r="A24" s="24">
        <v>42010</v>
      </c>
      <c r="B24" s="18">
        <v>42010</v>
      </c>
      <c r="C24" s="18">
        <v>42011</v>
      </c>
      <c r="D24" s="20">
        <f>Table5[[#This Row],[Delivery Date]]-Table5[[#This Row],[Order Date]]</f>
        <v>1</v>
      </c>
      <c r="E24" s="16" t="s">
        <v>9</v>
      </c>
      <c r="F24" s="16" t="s">
        <v>10</v>
      </c>
      <c r="G24" s="16" t="s">
        <v>18</v>
      </c>
      <c r="H24" s="16">
        <v>95</v>
      </c>
      <c r="I24" s="16">
        <v>1.99</v>
      </c>
      <c r="J24" s="16">
        <f>Table5[[#This Row],[Units]]*Table5[[#This Row],[Unit Price]]</f>
        <v>189.05</v>
      </c>
    </row>
    <row r="25" spans="1:10" x14ac:dyDescent="0.25">
      <c r="A25" s="25">
        <v>42019</v>
      </c>
      <c r="B25" s="18">
        <v>42019</v>
      </c>
      <c r="C25" s="18">
        <v>42023</v>
      </c>
      <c r="D25" s="20">
        <f>Table5[[#This Row],[Delivery Date]]-Table5[[#This Row],[Order Date]]</f>
        <v>4</v>
      </c>
      <c r="E25" s="16" t="s">
        <v>14</v>
      </c>
      <c r="F25" s="16" t="s">
        <v>23</v>
      </c>
      <c r="G25" s="16" t="s">
        <v>13</v>
      </c>
      <c r="H25" s="16">
        <v>46</v>
      </c>
      <c r="I25" s="16">
        <v>8.99</v>
      </c>
      <c r="J25" s="16">
        <f>Table5[[#This Row],[Units]]*Table5[[#This Row],[Unit Price]]</f>
        <v>413.54</v>
      </c>
    </row>
    <row r="26" spans="1:10" x14ac:dyDescent="0.25">
      <c r="A26" s="24">
        <v>42027</v>
      </c>
      <c r="B26" s="18">
        <v>42027</v>
      </c>
      <c r="C26" s="18">
        <v>42028</v>
      </c>
      <c r="D26" s="20">
        <f>Table5[[#This Row],[Delivery Date]]-Table5[[#This Row],[Order Date]]</f>
        <v>1</v>
      </c>
      <c r="E26" s="16" t="s">
        <v>14</v>
      </c>
      <c r="F26" s="16" t="s">
        <v>17</v>
      </c>
      <c r="G26" s="16" t="s">
        <v>13</v>
      </c>
      <c r="H26" s="16">
        <v>50</v>
      </c>
      <c r="I26" s="16">
        <v>19.989999999999998</v>
      </c>
      <c r="J26" s="16">
        <f>Table5[[#This Row],[Units]]*Table5[[#This Row],[Unit Price]]</f>
        <v>999.49999999999989</v>
      </c>
    </row>
    <row r="27" spans="1:10" x14ac:dyDescent="0.25">
      <c r="A27" s="25">
        <v>42036</v>
      </c>
      <c r="B27" s="18">
        <v>42036</v>
      </c>
      <c r="C27" s="18">
        <v>42041</v>
      </c>
      <c r="D27" s="20">
        <f>Table5[[#This Row],[Delivery Date]]-Table5[[#This Row],[Order Date]]</f>
        <v>5</v>
      </c>
      <c r="E27" s="16" t="s">
        <v>14</v>
      </c>
      <c r="F27" s="16" t="s">
        <v>22</v>
      </c>
      <c r="G27" s="16" t="s">
        <v>13</v>
      </c>
      <c r="H27" s="16">
        <v>87</v>
      </c>
      <c r="I27" s="16">
        <v>15</v>
      </c>
      <c r="J27" s="16">
        <f>Table5[[#This Row],[Units]]*Table5[[#This Row],[Unit Price]]</f>
        <v>1305</v>
      </c>
    </row>
    <row r="28" spans="1:10" x14ac:dyDescent="0.25">
      <c r="A28" s="24">
        <v>42044</v>
      </c>
      <c r="B28" s="18">
        <v>42044</v>
      </c>
      <c r="C28" s="18">
        <v>42047</v>
      </c>
      <c r="D28" s="20">
        <f>Table5[[#This Row],[Delivery Date]]-Table5[[#This Row],[Order Date]]</f>
        <v>3</v>
      </c>
      <c r="E28" s="16" t="s">
        <v>14</v>
      </c>
      <c r="F28" s="16" t="s">
        <v>27</v>
      </c>
      <c r="G28" s="16" t="s">
        <v>18</v>
      </c>
      <c r="H28" s="16">
        <v>36</v>
      </c>
      <c r="I28" s="16">
        <v>4.99</v>
      </c>
      <c r="J28" s="16">
        <f>Table5[[#This Row],[Units]]*Table5[[#This Row],[Unit Price]]</f>
        <v>179.64000000000001</v>
      </c>
    </row>
    <row r="29" spans="1:10" x14ac:dyDescent="0.25">
      <c r="A29" s="25">
        <v>42053</v>
      </c>
      <c r="B29" s="18">
        <v>42053</v>
      </c>
      <c r="C29" s="18">
        <v>42054</v>
      </c>
      <c r="D29" s="20">
        <f>Table5[[#This Row],[Delivery Date]]-Table5[[#This Row],[Order Date]]</f>
        <v>1</v>
      </c>
      <c r="E29" s="16" t="s">
        <v>9</v>
      </c>
      <c r="F29" s="16" t="s">
        <v>10</v>
      </c>
      <c r="G29" s="16" t="s">
        <v>13</v>
      </c>
      <c r="H29" s="16">
        <v>4</v>
      </c>
      <c r="I29" s="16">
        <v>4.99</v>
      </c>
      <c r="J29" s="16">
        <f>Table5[[#This Row],[Units]]*Table5[[#This Row],[Unit Price]]</f>
        <v>19.96</v>
      </c>
    </row>
    <row r="30" spans="1:10" x14ac:dyDescent="0.25">
      <c r="A30" s="24">
        <v>42061</v>
      </c>
      <c r="B30" s="18">
        <v>42061</v>
      </c>
      <c r="C30" s="18">
        <v>42063</v>
      </c>
      <c r="D30" s="20">
        <f>Table5[[#This Row],[Delivery Date]]-Table5[[#This Row],[Order Date]]</f>
        <v>2</v>
      </c>
      <c r="E30" s="16" t="s">
        <v>14</v>
      </c>
      <c r="F30" s="16" t="s">
        <v>23</v>
      </c>
      <c r="G30" s="16" t="s">
        <v>24</v>
      </c>
      <c r="H30" s="16">
        <v>27</v>
      </c>
      <c r="I30" s="16">
        <v>19.989999999999998</v>
      </c>
      <c r="J30" s="16">
        <f>Table5[[#This Row],[Units]]*Table5[[#This Row],[Unit Price]]</f>
        <v>539.7299999999999</v>
      </c>
    </row>
    <row r="31" spans="1:10" x14ac:dyDescent="0.25">
      <c r="A31" s="25">
        <v>42070</v>
      </c>
      <c r="B31" s="18">
        <v>42070</v>
      </c>
      <c r="C31" s="18">
        <v>42075</v>
      </c>
      <c r="D31" s="20">
        <f>Table5[[#This Row],[Delivery Date]]-Table5[[#This Row],[Order Date]]</f>
        <v>5</v>
      </c>
      <c r="E31" s="16" t="s">
        <v>19</v>
      </c>
      <c r="F31" s="16" t="s">
        <v>20</v>
      </c>
      <c r="G31" s="16" t="s">
        <v>13</v>
      </c>
      <c r="H31" s="16">
        <v>7</v>
      </c>
      <c r="I31" s="16">
        <v>19.989999999999998</v>
      </c>
      <c r="J31" s="16">
        <f>Table5[[#This Row],[Units]]*Table5[[#This Row],[Unit Price]]</f>
        <v>139.92999999999998</v>
      </c>
    </row>
    <row r="32" spans="1:10" x14ac:dyDescent="0.25">
      <c r="A32" s="24">
        <v>42078</v>
      </c>
      <c r="B32" s="18">
        <v>42078</v>
      </c>
      <c r="C32" s="18">
        <v>42081</v>
      </c>
      <c r="D32" s="20">
        <f>Table5[[#This Row],[Delivery Date]]-Table5[[#This Row],[Order Date]]</f>
        <v>3</v>
      </c>
      <c r="E32" s="16" t="s">
        <v>19</v>
      </c>
      <c r="F32" s="16" t="s">
        <v>20</v>
      </c>
      <c r="G32" s="16" t="s">
        <v>18</v>
      </c>
      <c r="H32" s="16">
        <v>56</v>
      </c>
      <c r="I32" s="16">
        <v>2.99</v>
      </c>
      <c r="J32" s="16">
        <f>Table5[[#This Row],[Units]]*Table5[[#This Row],[Unit Price]]</f>
        <v>167.44</v>
      </c>
    </row>
    <row r="33" spans="1:10" x14ac:dyDescent="0.25">
      <c r="A33" s="25">
        <v>42087</v>
      </c>
      <c r="B33" s="18">
        <v>42087</v>
      </c>
      <c r="C33" s="18">
        <v>42092</v>
      </c>
      <c r="D33" s="20">
        <f>Table5[[#This Row],[Delivery Date]]-Table5[[#This Row],[Order Date]]</f>
        <v>5</v>
      </c>
      <c r="E33" s="16" t="s">
        <v>14</v>
      </c>
      <c r="F33" s="16" t="s">
        <v>27</v>
      </c>
      <c r="G33" s="16" t="s">
        <v>11</v>
      </c>
      <c r="H33" s="16">
        <v>50</v>
      </c>
      <c r="I33" s="16">
        <v>4.99</v>
      </c>
      <c r="J33" s="16">
        <f>Table5[[#This Row],[Units]]*Table5[[#This Row],[Unit Price]]</f>
        <v>249.5</v>
      </c>
    </row>
    <row r="34" spans="1:10" x14ac:dyDescent="0.25">
      <c r="A34" s="24">
        <v>42095</v>
      </c>
      <c r="B34" s="18">
        <v>42095</v>
      </c>
      <c r="C34" s="18">
        <v>42098</v>
      </c>
      <c r="D34" s="20">
        <f>Table5[[#This Row],[Delivery Date]]-Table5[[#This Row],[Order Date]]</f>
        <v>3</v>
      </c>
      <c r="E34" s="16" t="s">
        <v>9</v>
      </c>
      <c r="F34" s="16" t="s">
        <v>10</v>
      </c>
      <c r="G34" s="16" t="s">
        <v>13</v>
      </c>
      <c r="H34" s="16">
        <v>60</v>
      </c>
      <c r="I34" s="16">
        <v>4.99</v>
      </c>
      <c r="J34" s="16">
        <f>Table5[[#This Row],[Units]]*Table5[[#This Row],[Unit Price]]</f>
        <v>299.40000000000003</v>
      </c>
    </row>
    <row r="35" spans="1:10" x14ac:dyDescent="0.25">
      <c r="A35" s="25">
        <v>42104</v>
      </c>
      <c r="B35" s="18">
        <v>42104</v>
      </c>
      <c r="C35" s="18">
        <v>42109</v>
      </c>
      <c r="D35" s="20">
        <f>Table5[[#This Row],[Delivery Date]]-Table5[[#This Row],[Order Date]]</f>
        <v>5</v>
      </c>
      <c r="E35" s="16" t="s">
        <v>14</v>
      </c>
      <c r="F35" s="16" t="s">
        <v>26</v>
      </c>
      <c r="G35" s="16" t="s">
        <v>18</v>
      </c>
      <c r="H35" s="16">
        <v>66</v>
      </c>
      <c r="I35" s="16">
        <v>1.99</v>
      </c>
      <c r="J35" s="16">
        <f>Table5[[#This Row],[Units]]*Table5[[#This Row],[Unit Price]]</f>
        <v>131.34</v>
      </c>
    </row>
    <row r="36" spans="1:10" x14ac:dyDescent="0.25">
      <c r="A36" s="24">
        <v>42112</v>
      </c>
      <c r="B36" s="18">
        <v>42112</v>
      </c>
      <c r="C36" s="18">
        <v>42115</v>
      </c>
      <c r="D36" s="20">
        <f>Table5[[#This Row],[Delivery Date]]-Table5[[#This Row],[Order Date]]</f>
        <v>3</v>
      </c>
      <c r="E36" s="16" t="s">
        <v>14</v>
      </c>
      <c r="F36" s="16" t="s">
        <v>26</v>
      </c>
      <c r="G36" s="16" t="s">
        <v>18</v>
      </c>
      <c r="H36" s="16">
        <v>75</v>
      </c>
      <c r="I36" s="16">
        <v>1.99</v>
      </c>
      <c r="J36" s="16">
        <f>Table5[[#This Row],[Units]]*Table5[[#This Row],[Unit Price]]</f>
        <v>149.25</v>
      </c>
    </row>
    <row r="37" spans="1:10" x14ac:dyDescent="0.25">
      <c r="A37" s="25">
        <v>42121</v>
      </c>
      <c r="B37" s="18">
        <v>42121</v>
      </c>
      <c r="C37" s="18">
        <v>42123</v>
      </c>
      <c r="D37" s="20">
        <f>Table5[[#This Row],[Delivery Date]]-Table5[[#This Row],[Order Date]]</f>
        <v>2</v>
      </c>
      <c r="E37" s="16" t="s">
        <v>9</v>
      </c>
      <c r="F37" s="16" t="s">
        <v>12</v>
      </c>
      <c r="G37" s="16" t="s">
        <v>24</v>
      </c>
      <c r="H37" s="16">
        <v>96</v>
      </c>
      <c r="I37" s="16">
        <v>4.99</v>
      </c>
      <c r="J37" s="16">
        <f>Table5[[#This Row],[Units]]*Table5[[#This Row],[Unit Price]]</f>
        <v>479.04</v>
      </c>
    </row>
    <row r="38" spans="1:10" x14ac:dyDescent="0.25">
      <c r="A38" s="24">
        <v>42129</v>
      </c>
      <c r="B38" s="18">
        <v>42129</v>
      </c>
      <c r="C38" s="18">
        <v>42130</v>
      </c>
      <c r="D38" s="20">
        <f>Table5[[#This Row],[Delivery Date]]-Table5[[#This Row],[Order Date]]</f>
        <v>1</v>
      </c>
      <c r="E38" s="16" t="s">
        <v>14</v>
      </c>
      <c r="F38" s="16" t="s">
        <v>27</v>
      </c>
      <c r="G38" s="16" t="s">
        <v>18</v>
      </c>
      <c r="H38" s="16">
        <v>90</v>
      </c>
      <c r="I38" s="16">
        <v>4.99</v>
      </c>
      <c r="J38" s="16">
        <f>Table5[[#This Row],[Units]]*Table5[[#This Row],[Unit Price]]</f>
        <v>449.1</v>
      </c>
    </row>
    <row r="39" spans="1:10" x14ac:dyDescent="0.25">
      <c r="A39" s="25">
        <v>42138</v>
      </c>
      <c r="B39" s="18">
        <v>42138</v>
      </c>
      <c r="C39" s="18">
        <v>42142</v>
      </c>
      <c r="D39" s="20">
        <f>Table5[[#This Row],[Delivery Date]]-Table5[[#This Row],[Order Date]]</f>
        <v>4</v>
      </c>
      <c r="E39" s="16" t="s">
        <v>14</v>
      </c>
      <c r="F39" s="16" t="s">
        <v>23</v>
      </c>
      <c r="G39" s="16" t="s">
        <v>18</v>
      </c>
      <c r="H39" s="16">
        <v>53</v>
      </c>
      <c r="I39" s="16">
        <v>1.29</v>
      </c>
      <c r="J39" s="16">
        <f>Table5[[#This Row],[Units]]*Table5[[#This Row],[Unit Price]]</f>
        <v>68.37</v>
      </c>
    </row>
    <row r="40" spans="1:10" x14ac:dyDescent="0.25">
      <c r="A40" s="24">
        <v>42146</v>
      </c>
      <c r="B40" s="18">
        <v>42146</v>
      </c>
      <c r="C40" s="18">
        <v>42150</v>
      </c>
      <c r="D40" s="20">
        <f>Table5[[#This Row],[Delivery Date]]-Table5[[#This Row],[Order Date]]</f>
        <v>4</v>
      </c>
      <c r="E40" s="16" t="s">
        <v>19</v>
      </c>
      <c r="F40" s="16" t="s">
        <v>25</v>
      </c>
      <c r="G40" s="16" t="s">
        <v>18</v>
      </c>
      <c r="H40" s="16">
        <v>32</v>
      </c>
      <c r="I40" s="16">
        <v>1.99</v>
      </c>
      <c r="J40" s="16">
        <f>Table5[[#This Row],[Units]]*Table5[[#This Row],[Unit Price]]</f>
        <v>63.68</v>
      </c>
    </row>
    <row r="41" spans="1:10" x14ac:dyDescent="0.25">
      <c r="A41" s="25">
        <v>42155</v>
      </c>
      <c r="B41" s="18">
        <v>42155</v>
      </c>
      <c r="C41" s="18">
        <v>42155</v>
      </c>
      <c r="D41" s="20">
        <f>Table5[[#This Row],[Delivery Date]]-Table5[[#This Row],[Order Date]]</f>
        <v>0</v>
      </c>
      <c r="E41" s="16" t="s">
        <v>14</v>
      </c>
      <c r="F41" s="16" t="s">
        <v>23</v>
      </c>
      <c r="G41" s="16" t="s">
        <v>13</v>
      </c>
      <c r="H41" s="16">
        <v>80</v>
      </c>
      <c r="I41" s="16">
        <v>8.99</v>
      </c>
      <c r="J41" s="16">
        <f>Table5[[#This Row],[Units]]*Table5[[#This Row],[Unit Price]]</f>
        <v>719.2</v>
      </c>
    </row>
    <row r="42" spans="1:10" x14ac:dyDescent="0.25">
      <c r="A42" s="24">
        <v>42163</v>
      </c>
      <c r="B42" s="18">
        <v>42163</v>
      </c>
      <c r="C42" s="18">
        <v>42167</v>
      </c>
      <c r="D42" s="20">
        <f>Table5[[#This Row],[Delivery Date]]-Table5[[#This Row],[Order Date]]</f>
        <v>4</v>
      </c>
      <c r="E42" s="16" t="s">
        <v>9</v>
      </c>
      <c r="F42" s="16" t="s">
        <v>10</v>
      </c>
      <c r="G42" s="16" t="s">
        <v>13</v>
      </c>
      <c r="H42" s="16">
        <v>60</v>
      </c>
      <c r="I42" s="16">
        <v>8.99</v>
      </c>
      <c r="J42" s="16">
        <f>Table5[[#This Row],[Units]]*Table5[[#This Row],[Unit Price]]</f>
        <v>539.4</v>
      </c>
    </row>
    <row r="43" spans="1:10" x14ac:dyDescent="0.25">
      <c r="A43" s="25">
        <v>42172</v>
      </c>
      <c r="B43" s="18">
        <v>42172</v>
      </c>
      <c r="C43" s="18">
        <v>42176</v>
      </c>
      <c r="D43" s="20">
        <f>Table5[[#This Row],[Delivery Date]]-Table5[[#This Row],[Order Date]]</f>
        <v>4</v>
      </c>
      <c r="E43" s="16" t="s">
        <v>14</v>
      </c>
      <c r="F43" s="16" t="s">
        <v>17</v>
      </c>
      <c r="G43" s="16" t="s">
        <v>21</v>
      </c>
      <c r="H43" s="16">
        <v>5</v>
      </c>
      <c r="I43" s="16">
        <v>125</v>
      </c>
      <c r="J43" s="16">
        <f>Table5[[#This Row],[Units]]*Table5[[#This Row],[Unit Price]]</f>
        <v>625</v>
      </c>
    </row>
    <row r="44" spans="1:10" x14ac:dyDescent="0.25">
      <c r="A44" s="24">
        <v>42180</v>
      </c>
      <c r="B44" s="18">
        <v>42180</v>
      </c>
      <c r="C44" s="18">
        <v>42183</v>
      </c>
      <c r="D44" s="20">
        <f>Table5[[#This Row],[Delivery Date]]-Table5[[#This Row],[Order Date]]</f>
        <v>3</v>
      </c>
      <c r="E44" s="16" t="s">
        <v>14</v>
      </c>
      <c r="F44" s="16" t="s">
        <v>15</v>
      </c>
      <c r="G44" s="16" t="s">
        <v>18</v>
      </c>
      <c r="H44" s="16">
        <v>90</v>
      </c>
      <c r="I44" s="16">
        <v>4.99</v>
      </c>
      <c r="J44" s="16">
        <f>Table5[[#This Row],[Units]]*Table5[[#This Row],[Unit Price]]</f>
        <v>449.1</v>
      </c>
    </row>
    <row r="45" spans="1:10" x14ac:dyDescent="0.25">
      <c r="A45" s="25">
        <v>42180</v>
      </c>
      <c r="B45" s="19">
        <v>42180</v>
      </c>
      <c r="C45" s="19">
        <v>42183</v>
      </c>
      <c r="D45" s="20">
        <f>Table5[[#This Row],[Delivery Date]]-Table5[[#This Row],[Order Date]]</f>
        <v>3</v>
      </c>
      <c r="E45" s="17" t="s">
        <v>9</v>
      </c>
      <c r="F45" s="17" t="s">
        <v>28</v>
      </c>
      <c r="G45" s="17" t="s">
        <v>18</v>
      </c>
      <c r="H45" s="17">
        <v>90</v>
      </c>
      <c r="I45" s="17">
        <v>4.99</v>
      </c>
      <c r="J45" s="17">
        <f>Table5[[#This Row],[Units]]*Table5[[#This Row],[Unit Price]]</f>
        <v>449.1</v>
      </c>
    </row>
  </sheetData>
  <autoFilter ref="A1:A45" xr:uid="{D34C70D4-E39B-46D9-8451-2392F12AB5F7}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Fine data</vt:lpstr>
      <vt:lpstr>Fine data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kashefuddin</dc:creator>
  <cp:lastModifiedBy>LAPTOP POINT</cp:lastModifiedBy>
  <dcterms:created xsi:type="dcterms:W3CDTF">2020-05-20T15:24:35Z</dcterms:created>
  <dcterms:modified xsi:type="dcterms:W3CDTF">2024-12-13T16:33:47Z</dcterms:modified>
</cp:coreProperties>
</file>